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Instrucoes" sheetId="1" state="visible" r:id="rId3"/>
    <sheet name="Problemas" sheetId="2" state="visible" r:id="rId4"/>
    <sheet name="Coleta" sheetId="3" state="visible" r:id="rId5"/>
    <sheet name="Consolidacao"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<sst xmlns="http://schemas.openxmlformats.org/spreadsheetml/2006/main" count="950" uniqueCount="201">
  <si>
    <t xml:space="preserve">Coleta de dados — Estudo comparativo de ferramentas de IA generativa</t>
  </si>
  <si>
    <t xml:space="preserve">15 problemas × 3 ferramentas × 2 execuções = 90 coletas · Beecrowd · Python 3</t>
  </si>
  <si>
    <t xml:space="preserve">FERRAMENTAS AVALIADAS</t>
  </si>
  <si>
    <t xml:space="preserve">Ferramenta 1</t>
  </si>
  <si>
    <t xml:space="preserve">ChatGPT</t>
  </si>
  <si>
    <t xml:space="preserve">GPT-5.6 Luna</t>
  </si>
  <si>
    <t xml:space="preserve">← confirme o modelo na interface a cada execução</t>
  </si>
  <si>
    <t xml:space="preserve">Ferramenta 2</t>
  </si>
  <si>
    <t xml:space="preserve">Gemini</t>
  </si>
  <si>
    <t xml:space="preserve">Gemini 3.6 Flash</t>
  </si>
  <si>
    <t xml:space="preserve">Ferramenta 3</t>
  </si>
  <si>
    <t xml:space="preserve">Claude</t>
  </si>
  <si>
    <t xml:space="preserve">Claude Sonnet 5</t>
  </si>
  <si>
    <t xml:space="preserve">O QUE ESTE ESTUDO MEDE</t>
  </si>
  <si>
    <t xml:space="preserve">• Corretude — veredito do juiz: aceito de primeira, rodadas até aceitar, resultado final</t>
  </si>
  <si>
    <t xml:space="preserve">• Autocorreção — o que acontece quando a ferramenta recebe o veredito de erro de volta</t>
  </si>
  <si>
    <t xml:space="preserve">• Qualidade do código — Pylint e Radon (preenchido por mim, não por você)</t>
  </si>
  <si>
    <t xml:space="preserve">• Eficiência — tempo de execução do programa, reportado pelo Beecrowd</t>
  </si>
  <si>
    <t xml:space="preserve">• Consistência — concordância entre a Execução 1 e a Execução 2</t>
  </si>
  <si>
    <t xml:space="preserve">COMO PREENCHER</t>
  </si>
  <si>
    <t xml:space="preserve">1. Só as células amarelas. ID, nível e ferramenta já vêm por fórmula.</t>
  </si>
  <si>
    <t xml:space="preserve">2. Execução 1: linhas 3 a 47. Execução 2: linhas 48 a 92 (em verde), em outra data.</t>
  </si>
  <si>
    <t xml:space="preserve">3. Registre o veredito de CADA tentativa, não só da primeira — é o que mede autocorreção.</t>
  </si>
  <si>
    <t xml:space="preserve">4. Não há cronometragem. Nenhum campo depende de você medir tempo.</t>
  </si>
  <si>
    <t xml:space="preserve">5. Salve os códigos em ..\codigos como 1131_chatgpt_1.py e me avise ao terminar.</t>
  </si>
  <si>
    <t xml:space="preserve">6. A linha 2 é um EXEMPLO: apague o conteúdo dela (não a linha) ao começar.</t>
  </si>
  <si>
    <t xml:space="preserve">REGRAS DO PROTOCOLO</t>
  </si>
  <si>
    <t xml:space="preserve">• Chat novo a cada problema. Prompt idêntico nas três ferramentas.</t>
  </si>
  <si>
    <t xml:space="preserve">• Máximo de 3 tentativas: 1 inicial + 2 correções realimentando o veredito.</t>
  </si>
  <si>
    <t xml:space="preserve">• Alterne a ordem das ferramentas conforme a tabela de contrabalanceamento.</t>
  </si>
  <si>
    <t xml:space="preserve">• Nunca corrija o código por conta própria. Nenhuma intervenção manual.</t>
  </si>
  <si>
    <t xml:space="preserve">Problemas selecionados</t>
  </si>
  <si>
    <t xml:space="preserve">Escala de dificuldade do Beecrowd (1-10), agrupada como em Souza e Gheyi (2023).</t>
  </si>
  <si>
    <t xml:space="preserve">Nº</t>
  </si>
  <si>
    <t xml:space="preserve">ID</t>
  </si>
  <si>
    <t xml:space="preserve">Título</t>
  </si>
  <si>
    <t xml:space="preserve">Faixa</t>
  </si>
  <si>
    <t xml:space="preserve">Nível</t>
  </si>
  <si>
    <t xml:space="preserve">Categoria</t>
  </si>
  <si>
    <t xml:space="preserve">Link</t>
  </si>
  <si>
    <t xml:space="preserve">Grenais</t>
  </si>
  <si>
    <t xml:space="preserve">Fácil</t>
  </si>
  <si>
    <t xml:space="preserve">Iniciante</t>
  </si>
  <si>
    <t xml:space="preserve">https://judge.beecrowd.com/en/problems/view/1131</t>
  </si>
  <si>
    <t xml:space="preserve">Jumping Frog</t>
  </si>
  <si>
    <t xml:space="preserve">https://judge.beecrowd.com/en/problems/view/1961</t>
  </si>
  <si>
    <t xml:space="preserve">New Record</t>
  </si>
  <si>
    <t xml:space="preserve">https://judge.beecrowd.com/en/problems/view/2551</t>
  </si>
  <si>
    <t xml:space="preserve">Caesar Cipher</t>
  </si>
  <si>
    <t xml:space="preserve">Strings</t>
  </si>
  <si>
    <t xml:space="preserve">https://judge.beecrowd.com/en/problems/view/1253</t>
  </si>
  <si>
    <t xml:space="preserve">Manhattan Distance</t>
  </si>
  <si>
    <t xml:space="preserve">Ad-Hoc</t>
  </si>
  <si>
    <t xml:space="preserve">https://judge.beecrowd.com/en/problems/view/2437</t>
  </si>
  <si>
    <t xml:space="preserve">Digits</t>
  </si>
  <si>
    <t xml:space="preserve">Médio</t>
  </si>
  <si>
    <t xml:space="preserve">https://judge.beecrowd.com/en/problems/view/2867</t>
  </si>
  <si>
    <t xml:space="preserve">Passwords Validator</t>
  </si>
  <si>
    <t xml:space="preserve">https://judge.beecrowd.com/en/problems/view/2253</t>
  </si>
  <si>
    <t xml:space="preserve">Joseph's Cousin</t>
  </si>
  <si>
    <t xml:space="preserve">https://judge.beecrowd.com/en/problems/view/1032</t>
  </si>
  <si>
    <t xml:space="preserve">How Many Calls?</t>
  </si>
  <si>
    <t xml:space="preserve">Paradigmas</t>
  </si>
  <si>
    <t xml:space="preserve">https://judge.beecrowd.com/en/problems/view/1033</t>
  </si>
  <si>
    <t xml:space="preserve">How Easy</t>
  </si>
  <si>
    <t xml:space="preserve">https://judge.beecrowd.com/en/problems/view/1243</t>
  </si>
  <si>
    <t xml:space="preserve">Erasing and Winning</t>
  </si>
  <si>
    <t xml:space="preserve">Difícil</t>
  </si>
  <si>
    <t xml:space="preserve">https://judge.beecrowd.com/en/problems/view/1084</t>
  </si>
  <si>
    <t xml:space="preserve">Ice Statues Festival</t>
  </si>
  <si>
    <t xml:space="preserve">https://judge.beecrowd.com/en/problems/view/1034</t>
  </si>
  <si>
    <t xml:space="preserve">Critical Wave</t>
  </si>
  <si>
    <t xml:space="preserve">https://judge.beecrowd.com/en/problems/view/1027</t>
  </si>
  <si>
    <t xml:space="preserve">Longest Increasing Sub-sequence</t>
  </si>
  <si>
    <t xml:space="preserve">https://judge.beecrowd.com/en/problems/view/1092</t>
  </si>
  <si>
    <t xml:space="preserve">Growing Strings</t>
  </si>
  <si>
    <t xml:space="preserve">https://judge.beecrowd.com/en/problems/view/1141</t>
  </si>
  <si>
    <t xml:space="preserve">ID Problema</t>
  </si>
  <si>
    <t xml:space="preserve">Ferramenta</t>
  </si>
  <si>
    <t xml:space="preserve">Execução</t>
  </si>
  <si>
    <t xml:space="preserve">Data da coleta</t>
  </si>
  <si>
    <t xml:space="preserve">Modelo / versão exibida</t>
  </si>
  <si>
    <t xml:space="preserve">Aceito na 1ª tentativa</t>
  </si>
  <si>
    <t xml:space="preserve">Rodadas até Accepted (1-3)</t>
  </si>
  <si>
    <t xml:space="preserve">Resultado final</t>
  </si>
  <si>
    <t xml:space="preserve">Veredito 1ª tentativa</t>
  </si>
  <si>
    <t xml:space="preserve">Veredito 2ª tentativa</t>
  </si>
  <si>
    <t xml:space="preserve">Veredito 3ª tentativa</t>
  </si>
  <si>
    <t xml:space="preserve">Score Pylint (0-10)</t>
  </si>
  <si>
    <t xml:space="preserve">Complexidade ciclomática (total)</t>
  </si>
  <si>
    <t xml:space="preserve">Índice de manutenibilidade</t>
  </si>
  <si>
    <t xml:space="preserve">LOC</t>
  </si>
  <si>
    <t xml:space="preserve">Densidade de comentários (%)</t>
  </si>
  <si>
    <t xml:space="preserve">Forma do código</t>
  </si>
  <si>
    <t xml:space="preserve">Tempo de execução (s)</t>
  </si>
  <si>
    <t xml:space="preserve">Observações</t>
  </si>
  <si>
    <t xml:space="preserve">12/09/2026</t>
  </si>
  <si>
    <t xml:space="preserve">Não</t>
  </si>
  <si>
    <t xml:space="preserve">Accepted</t>
  </si>
  <si>
    <t xml:space="preserve">Wrong Answer</t>
  </si>
  <si>
    <t xml:space="preserve">-</t>
  </si>
  <si>
    <t xml:space="preserve">script linear</t>
  </si>
  <si>
    <t xml:space="preserve">EXEMPLO — apague o conteúdo desta linha</t>
  </si>
  <si>
    <t xml:space="preserve">09/09/2026</t>
  </si>
  <si>
    <t xml:space="preserve">Sim</t>
  </si>
  <si>
    <t xml:space="preserve">com funções</t>
  </si>
  <si>
    <t xml:space="preserve">Falha</t>
  </si>
  <si>
    <t xml:space="preserve">Presentation Error</t>
  </si>
  <si>
    <t xml:space="preserve">Presentation Error nas três tentativas admitidas pelo protocolo: 49939457 (1ª), 49939477 (2ª) e 49939484 (3ª). Esgotado o limite de três tentativas, a coleta é encerrada como Falha. Houve uma QUARTA submissão (49939491, 11h23), aceita, que NÃO é computada por exceder o limite de três tentativas declarado no método, seguindo Souza e Gheyi (2023). O erro de apresentação decorre da ausência de quebra de linha final: a solução usa sys.stdout.write sem '\n' ao término. Métricas de qualidade medidas sobre a primeira resposta, como nas demais coletas.</t>
  </si>
  <si>
    <t xml:space="preserve">A interface do Claude exibiu atividade própria antes de responder (indicador "Pensou por Ns" e, neste problema, "Executou um comando" — a ferramenta executou código antes de responder), recurso que não apareceu nas outras duas ferramentas nesta coleta. Registrado como diferença de capacidade entre as ferramentas, não como desvio de protocolo.</t>
  </si>
  <si>
    <t xml:space="preserve">Aceito na 2ª tentativa (autocorreção). 1ª: submissão 49939682, Wrong answer (75%), árvore de Fenwick, 84 linhas. 2ª: submissão 49939684, Accepted, 0,002 s, simulação direta com lista, 51 linhas — a ferramenta trocou de estratégia em vez de corrigir a anterior. Código da 2ª tentativa: codigos/correcoes/1032_chatgpt_1_tentativa2.py. DESVIO DE PROTOCOLO: o prompt de correção foi digitado como "O veredito foi Wrong answer (75%) . corrija", e não na forma padronizada "O código retornou [VEREDITO]. Corrija." O conteúdo informado é o mesmo — veredito realimentado e pedido de correção —, mas a redação difere.</t>
  </si>
  <si>
    <t xml:space="preserve">A interface do Claude exibiu atividade própria antes de responder ("Pensou por 4s"), recurso que não apareceu no ChatGPT nem no Gemini nesta coleta. Registrado como diferença de capacidade entre as ferramentas, não como desvio de protocolo.</t>
  </si>
  <si>
    <t xml:space="preserve">A interface do Claude exibiu atividade própria antes de responder ("Pensou por 15s"), recurso que não apareceu no ChatGPT nem no Gemini nesta coleta. Registrado como diferença de capacidade entre as ferramentas, não como desvio de protocolo.</t>
  </si>
  <si>
    <t xml:space="preserve">A interface do Claude exibiu atividade própria antes de responder ("Pensou por 7s"), recurso que não apareceu no ChatGPT nem no Gemini nesta coleta. Registrado como diferença de capacidade entre as ferramentas, não como desvio de protocolo.</t>
  </si>
  <si>
    <t xml:space="preserve">Submissão 49940062 (1ª e válida). A submissão 49940440, às 13h22, é o MESMO código reenviado — byte a byte idêntico, 609 B — e não constitui nova tentativa.</t>
  </si>
  <si>
    <t xml:space="preserve">Time Limit Exceeded</t>
  </si>
  <si>
    <t xml:space="preserve">Três tentativas esgotadas sem aceitação: 49940064 (TLE), 49940075 (TLE) e 49940088 (Presentation error). Códigos: codigos/correcoes/1034_chatgpt_1_tentativa2.py e _tentativa3.py.</t>
  </si>
  <si>
    <t xml:space="preserve">Três tentativas esgotadas, todas Time limit exceeded: 49940334, 49940355 e 49940363. Códigos: codigos/correcoes/1034_gemini_1_tentativa2.py e _tentativa3.py.</t>
  </si>
  <si>
    <t xml:space="preserve">Runtime Error</t>
  </si>
  <si>
    <t xml:space="preserve">Três tentativas esgotadas: 49940429 (TLE), 49940516 (Runtime error) e 49940553 (TLE). Códigos: codigos/correcoes/1034_claude_1_tentativa2.py (confere com 49940516) e _tentativa3.py (confere com 49940553). Houve duas submissões adicionais fora do protocolo: 49940460, byte a byte idêntica a 49940429 (mesmo código reenviado), e 49940478 (706 B), que não corresponde a nenhuma versão salva do Claude — colagem equivocada. Nenhuma das cinco foi aceita, de modo que o desfecho Falha não depende da leitura adotada.</t>
  </si>
  <si>
    <t xml:space="preserve">Três tentativas esgotadas sem aceitação: 49940570 (Wrong answer 5%), 49940610 (Presentation error 100%) e 49943694 (Wrong answer 5%). A 3ª tentativa retornou ao mesmo veredito da 1ª. Códigos: codigos/correcoes/1027_chatgpt_1_tentativa2.txt e _tentativa3.py.</t>
  </si>
  <si>
    <t xml:space="preserve">Autocorreção bem-sucedida: 49940635 (Wrong answer 5%) e 49940645 (Accepted). Código da 2ª tentativa: codigos/correcoes/1027_gemini_1_ tentativa2.py.</t>
  </si>
  <si>
    <t xml:space="preserve">Três tentativas esgotadas: 49940664 (Wrong answer 50%), 49943715 (TLE) e 49943749 (TLE). Ao receber o veredito, a ferramenta trocou um erro de corretude por um de desempenho e não recuperou. Códigos: codigos/correcoes/1092_chatgpt_1_tentativa2.py e _tentativa3.py.</t>
  </si>
  <si>
    <t xml:space="preserve">Três tentativas esgotadas: 49940675 (TLE), 49940695 (Wrong answer 35%) e 49940726 (Wrong answer 35%). Códigos: codigos/correcoes/1092_gemini_1_tentativa2.py e _tentativa3.py.</t>
  </si>
  <si>
    <t xml:space="preserve">Três tentativas esgotadas: 49940735 (Runtime error, solução com numpy), 49943785 (TLE) e 49943838 (TLE). Códigos: codigos/correcoes/1092_claude_1_tentativa2.py e _tentativa3.py.</t>
  </si>
  <si>
    <t xml:space="preserve">Três tentativas esgotadas: 49940762 (TLE, 6,000 s), 49943869 (TLE) e 49943902 (Runtime error — TypeError: ord() expected string of length 1, but int found, linha 18). Códigos: codigos/correcoes/1141_chatgpt_1_tentativa2.py (confere com 49943869) e _tentativa3.py (confere com 49943902). Na coleta inicial a interface indicou raciocínio longo e "Pesquisou 10 sites" — houve busca na web durante a geração, recurso ausente nas outras duas ferramentas.</t>
  </si>
  <si>
    <t xml:space="preserve">Não extraível</t>
  </si>
  <si>
    <t xml:space="preserve">Três tentativas: 49940785 (TLE) e 49943912 (TLE, código em codigos/correcoes/1141_gemini_1_tentativa2.py). Na 3ª tentativa a ferramenta NÃO PRODUZIU CÓDIGO: respondeu, na mesma conversa em que havia escrito duas soluções e recebido o enunciado completo, que "não incluiu o código nem a descrição do problema, envie-os aqui", e entregou um texto genérico sobre causas de Time Limit Exceeded — texto que discute cin/cout em C++ e Scanner em Java, embora a coleta seja toda em Python 3. Verificado no DOM: zero blocos de código na resposta; não houve o que submeter. Transcrição integral em codigos/correcoes/1141_gemini_1_tentativa3_RESPOSTA_SEM_CODIGO.txt. Classificada como Não extraível, distinta das falhas de entrega por renderização: aqui a resposta foi renderizada corretamente e não continha solução.</t>
  </si>
  <si>
    <t xml:space="preserve">Memory Limit Exceeded</t>
  </si>
  <si>
    <t xml:space="preserve">Três tentativas esgotadas: 49940802 (Memory limit exceeded), 49943934 (TLE) e 49943997 (TLE). Códigos: codigos/correcoes/1141_claude_1_tentativa2.py (confere com 49943934) e _tentativa3.py (confere com 49943997). A coleta inicial exibiu "Pensou por 7m 20s" antes de responder.</t>
  </si>
  <si>
    <t xml:space="preserve">15/09/2026</t>
  </si>
  <si>
    <t xml:space="preserve">Submissão 49994746. Código em codigos/1131_chatgpt_2.py (conferido por checksum contra o código submetido).</t>
  </si>
  <si>
    <t xml:space="preserve">Submissão 49994750. Código em codigos/1131_gemini_2.py. Imprime "Não houve vencedor" com acento, aceito pelo juiz.</t>
  </si>
  <si>
    <t xml:space="preserve">Submissão 49994760. Código em codigos/1131_claude_2.py. Imprime "Não houve vencedor" com acento, aceito pelo juiz. O ChatGPT, no mesmo problema, imprimiu sem acento.</t>
  </si>
  <si>
    <t xml:space="preserve">Submissão 49994763. Código em codigos/1961_chatgpt_2.py.</t>
  </si>
  <si>
    <t xml:space="preserve">Submissão 49994766. Código em codigos/1961_gemini_2.py.</t>
  </si>
  <si>
    <t xml:space="preserve">Submissão 49994771. Código em codigos/1961_claude_2.py.</t>
  </si>
  <si>
    <t xml:space="preserve">Três tentativas esgotadas, todas Presentation error (100%): 49994778, 49994799 e 49994817. Códigos das correções em codigos/correcoes/2551_chatgpt_2_tentativa2.py e _tentativa3.py, ambos conferidos por checksum contra o que foi submetido. As três versões terminam com sys.stdout.write("\n".join(...)), sem quebra de linha final — que é a única causa do Presentation error. Entre as tentativas a ferramenta reescreveu o algoritmo duas vezes (comparação por divisão em ponto flutuante na 2ª, comparação por produto cruzado na 3ª) e renomeou as variáveis, mas nunca alterou a instrução de saída. Presentation error (100%) significa conteúdo integralmente correto e formatação divergente: o que ela corrigiu já estava certo, e o que estava errado ficou intacto nas três tentativas.</t>
  </si>
  <si>
    <t xml:space="preserve">Submissão 49994829. Código em codigos/2551_gemini_2.py.</t>
  </si>
  <si>
    <t xml:space="preserve">Submissão 49994832. Código em codigos/2551_claude_2.py.</t>
  </si>
  <si>
    <t xml:space="preserve">Submissão 49994836. Código em codigos/1253_chatgpt_2.py.</t>
  </si>
  <si>
    <t xml:space="preserve">Submissão 49994844. Código em codigos/1253_gemini_2.py.</t>
  </si>
  <si>
    <t xml:space="preserve">Submissão 49994850. Código em codigos/1253_claude_2.py.</t>
  </si>
  <si>
    <t xml:space="preserve">Submissão 49994856. Código em codigos/2437_chatgpt_2.py.</t>
  </si>
  <si>
    <t xml:space="preserve">Submissão 49994864. Código em codigos/2437_gemini_2.py.</t>
  </si>
  <si>
    <t xml:space="preserve">Submissão 49994869. Código em codigos/2437_claude_2.py.</t>
  </si>
  <si>
    <t xml:space="preserve">Submissão 49995129. Código em codigos/2867_chatgpt_2.py. Conta os dígitos por int(M*log10(N))+1.</t>
  </si>
  <si>
    <t xml:space="preserve">Submissão 49995138. Código em codigos/2867_gemini_2.py. Mesma abordagem por log10 do ChatGPT.</t>
  </si>
  <si>
    <t xml:space="preserve">Submissão 49995145. Código em codigos/2867_claude_2.py. Única das três a calcular a potência inteira n**m e medir o comprimento da representação decimal — exato, e o mais lento dos três (0,091 s contra 0,005 e 0,000).</t>
  </si>
  <si>
    <t xml:space="preserve">Submissão 49995151. Código em codigos/2253_chatgpt_2.py.</t>
  </si>
  <si>
    <t xml:space="preserve">Submissão 49995158. Código em codigos/2253_gemini_2.py.</t>
  </si>
  <si>
    <t xml:space="preserve">Submissão 49995168. Código em codigos/2253_claude_2.py.</t>
  </si>
  <si>
    <t xml:space="preserve">Submissão 49995177. Código em codigos/1032_chatgpt_2.py. Na Execução 1 este problema exigiu 2 tentativas do ChatGPT; aqui foi aceito de primeira, com código 46% menor (1709 -&gt; 920 bytes).</t>
  </si>
  <si>
    <t xml:space="preserve">Submissão 49995189. Código em codigos/1032_gemini_2.py.</t>
  </si>
  <si>
    <t xml:space="preserve">Submissão 49995195. Código em codigos/1032_claude_2.py.</t>
  </si>
  <si>
    <t xml:space="preserve">Duas tentativas: 49995200 (Wrong answer 5%) e 49995223 (Accepted). Código da 2ª em codigos/correcoes/1033_chatgpt_2_tentativa2.py, conferido por checksum contra o submetido. Autocorreção bem-sucedida.</t>
  </si>
  <si>
    <t xml:space="preserve">Duas tentativas: 49995243 (Wrong answer 5%) e 49995260 (Accepted). Código da 2ª em codigos/correcoes/1033_gemini_2_tentativa2.py, conferido por checksum. Autocorreção bem-sucedida.</t>
  </si>
  <si>
    <t xml:space="preserve">Submissão 49995270. Código em codigos/1033_claude_2.py. Única das três aceita de primeira neste problema.</t>
  </si>
  <si>
    <t xml:space="preserve">Submissão 49995277. Código em codigos/1243_chatgpt_2.py.</t>
  </si>
  <si>
    <t xml:space="preserve">Submissão 49995283. Código em codigos/1243_gemini_2.py.</t>
  </si>
  <si>
    <t xml:space="preserve">Submissão 49995294. Código em codigos/1243_claude_2.py. Contém código morto: 'if line == "" and False:' seguido de continue inalcançável — condição que nunca pode ser verdadeira.</t>
  </si>
  <si>
    <t xml:space="preserve">Três tentativas: 49995646 (Presentation error 100%), 49995669 (Presentation error 100%) e 49995677 (Accepted). Correções em codigos/correcoes/1084_chatgpt_2_tentativa2.py e _tentativa3.py, conferidas por checksum. Mesmo defeito do 2551 — falta de quebra de linha final —, mas desta vez recuperado na 3ª tentativa.</t>
  </si>
  <si>
    <t xml:space="preserve">Submissão 49995702. Código em codigos/1084_gemini_2.py.</t>
  </si>
  <si>
    <t xml:space="preserve">Submissão 49995707. Código em codigos/1084_claude_2.py.</t>
  </si>
  <si>
    <t xml:space="preserve">Duas tentativas: 49995720 (TLE) e 49995741 (Accepted). Correção em codigos/correcoes/1034_chatgpt_2_tentativa2.py, conferida por checksum. Autocorreção bem-sucedida.</t>
  </si>
  <si>
    <t xml:space="preserve">Três tentativas esgotadas, todas TLE: 49995767, 49995778 e 49995793. Correções em codigos/correcoes/1034_gemini_2_tentativa2.py e _tentativa3.py, conferidas por checksum. As três versões mantiveram a mesma programação dinâmica O(n*m); o veredito de tempo não levou a troca de algoritmo.</t>
  </si>
  <si>
    <t xml:space="preserve">Três tentativas esgotadas: 49995819 (TLE), 49995846 (Runtime error) e 49995903 (TLE). Correções em codigos/correcoes/1034_claude_2_tentativa2.py e _tentativa3.py, conferidas por checksum. A 2ª tentativa piorou o veredito — de tempo excedido para erro de execução — antes de voltar ao TLE.</t>
  </si>
  <si>
    <t xml:space="preserve">Três tentativas esgotadas: 49995922 (WA 5%), 49995942 (WA 75%) e 49995955 (WA 5%). Correções em codigos/correcoes/1027_chatgpt_2_tentativa2.txt e _tentativa3.txt, conferidas por checksum. A 2ª tentativa subiu para 75% de acerto e a 3ª voltou a 5%: a correção andou para trás.</t>
  </si>
  <si>
    <t xml:space="preserve">Duas tentativas: 49995961 (TLE) e 49995979 (Accepted). Correção em 'codigos/correcoes/1027_gemini_2_ tentativa2.py' (o nome do arquivo tem um espaço a mais), conferida por checksum. Autocorreção bem-sucedida.</t>
  </si>
  <si>
    <t xml:space="preserve">Submissão 49995986. Código em codigos/1027_claude_2.py. Única das três aceita de primeira neste problema.</t>
  </si>
  <si>
    <t xml:space="preserve">Três tentativas esgotadas: 49995995 (WA 55%), 49996011 (WA 30%) e 49996026 (TLE). Correções em codigos/correcoes/1092_chatgpt_2_tentativa2.py e _tentativa3.py, conferidas por checksum. O acerto caiu de 55% para 30% e a 3ª versão estourou o tempo.</t>
  </si>
  <si>
    <t xml:space="preserve">Três tentativas esgotadas: 49996033 (TLE), 49996044 (TLE) e 49996057 (WA 35%). Correções em codigos/correcoes/1092_gemini_2_tentativa2.py e _tentativa3.py, conferidas por checksum.</t>
  </si>
  <si>
    <t xml:space="preserve">Três tentativas esgotadas: 49996068 (Runtime error), 49998371 (Time limit exceeded) e 49998403 (Wrong answer 55%). Correções em codigos/correcoes/1092_claude_2_tentativa2.py e _tentativa3.py, conferidas por checksum. As tentativas 2 e 3 só foram feitas em 15/09/2026 à noite, depois que o limite de uso da conta gratuita foi reposto. A 1ª versão usava numpy; a 3ª tem 5.980 bytes contra 1.627 da 1ª, e ainda assim o veredito passou de erro de execução a resposta errada sem chegar a Accepted.</t>
  </si>
  <si>
    <t xml:space="preserve">Três tentativas esgotadas: 49996085 (Runtime error), 49996096 (TLE) e 49996115 (TLE). Correções em codigos/correcoes/1141_chatgpt_2_tentativa2.py e _tentativa3.py, conferidas por checksum. A 1ª versão lê a entrada com sys.stdin.buffer e aplica ord() aos elementos sem decodificar.</t>
  </si>
  <si>
    <t xml:space="preserve">Recoleta. A 1ª coleta deste problema foi falha de entrega — resposta fragmentada, indentação perdida, underscores de __name__ consumidos pelo markdown; transcrição integral em codigos/falhas/1141_gemini_2_tentativa1_FALHA_DE_ENTREGA.txt, e nada foi submetido. A coleta válida é a de conversa nova, com o mesmo prompt: código em codigos/1141_gemini_2.py. Três tentativas esgotadas: 49998311 (TLE), 49998319 (Wrong answer 60%) e 49998325 (Wrong answer 60%). Correções em codigos/correcoes/1141_gemini_2_tentativa2.py e _tentativa3.py, conferidas por checksum. As tentativas 2 e 3 têm códigos diferentes (1.246 e 2.318 bytes) e receberam exatamente o mesmo veredito e a mesma porcentagem.</t>
  </si>
  <si>
    <t xml:space="preserve">Três tentativas esgotadas: 49996132 (TLE), 49998416 (TLE) e 49998501 (Memory limit exceeded). ACHADO: os códigos da 2ª e da 3ª tentativa são BYTE A BYTE IDÊNTICOS (sha256 f18b30a9281b4d1b, 3.240 bytes), conferido nos arquivos salvos e nas duas submissões, que têm o mesmo checksum. Pedida a correção depois do TLE e pedida de novo depois do segundo TLE, a ferramenta devolveu o mesmo programa. Os vereditos diferentes (TLE e depois Memory limit exceeded) vêm do juiz, não do código: o programa está no limite de recurso. Correções em codigos/correcoes/1141_claude_2_tentativa2.py e _tentativa3.py.</t>
  </si>
  <si>
    <t xml:space="preserve">Consolidação dos resultados</t>
  </si>
  <si>
    <t xml:space="preserve">Calculado a partir da aba Coleta, somando as duas execuções.</t>
  </si>
  <si>
    <t xml:space="preserve">Métrica</t>
  </si>
  <si>
    <t xml:space="preserve">Coletas registradas</t>
  </si>
  <si>
    <t xml:space="preserve">Aceito na 1ª tentativa (%)</t>
  </si>
  <si>
    <t xml:space="preserve">Taxa de sucesso final (%)</t>
  </si>
  <si>
    <t xml:space="preserve">Taxa de autocorreção (%)</t>
  </si>
  <si>
    <t xml:space="preserve">Consistência entre execuções (%)</t>
  </si>
  <si>
    <t xml:space="preserve">Rodadas médias até aceitação</t>
  </si>
  <si>
    <t xml:space="preserve">Score Pylint médio (0-10)</t>
  </si>
  <si>
    <t xml:space="preserve">Desvio-padrão do Score Pylint</t>
  </si>
  <si>
    <t xml:space="preserve">Complexidade ciclomática média</t>
  </si>
  <si>
    <t xml:space="preserve">Desvio-padrão da complexidade</t>
  </si>
  <si>
    <t xml:space="preserve">Índice de manutenibilidade médio</t>
  </si>
  <si>
    <t xml:space="preserve">LOC médio</t>
  </si>
  <si>
    <t xml:space="preserve">Densidade média de comentários (%)</t>
  </si>
  <si>
    <t xml:space="preserve">Soluções em script linear (%)</t>
  </si>
  <si>
    <t xml:space="preserve">Tempo médio de execução (s)</t>
  </si>
  <si>
    <t xml:space="preserve">Coletas não extraíveis (falha de entrega)</t>
  </si>
  <si>
    <t xml:space="preserve">Taxa de sucesso final por faixa de dificuldade</t>
  </si>
  <si>
    <t xml:space="preserve">Tipologia dos vereditos na 1ª tentativa</t>
  </si>
  <si>
    <t xml:space="preserve">Veredito</t>
  </si>
  <si>
    <t xml:space="preserve">Compilation Error</t>
  </si>
  <si>
    <t xml:space="preserve">ÁREA AUXILIAR — não editar</t>
  </si>
  <si>
    <t xml:space="preserve">Pylint (B:D) · Complexidade (F:H) · Consistência (J:L)</t>
  </si>
</sst>
</file>

<file path=xl/styles.xml><?xml version="1.0" encoding="utf-8"?>
<styleSheet xmlns="http://schemas.openxmlformats.org/spreadsheetml/2006/main">
  <numFmts count="7">
    <numFmt numFmtId="164" formatCode="General"/>
    <numFmt numFmtId="165" formatCode="0"/>
    <numFmt numFmtId="166" formatCode="0.00"/>
    <numFmt numFmtId="167" formatCode="0.0%"/>
    <numFmt numFmtId="168" formatCode="0.000"/>
    <numFmt numFmtId="169" formatCode="General"/>
    <numFmt numFmtId="170" formatCode="0.0"/>
  </numFmts>
  <fonts count="9">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0"/>
      <name val="Arial"/>
      <family val="0"/>
      <charset val="1"/>
    </font>
    <font>
      <b val="true"/>
      <sz val="11"/>
      <name val="Arial"/>
      <family val="0"/>
      <charset val="1"/>
    </font>
    <font>
      <sz val="10"/>
      <name val="Arial"/>
      <family val="0"/>
      <charset val="1"/>
    </font>
    <font>
      <b val="true"/>
      <sz val="10"/>
      <color rgb="FFFFFFFF"/>
      <name val="Arial"/>
      <family val="0"/>
      <charset val="1"/>
    </font>
  </fonts>
  <fills count="8">
    <fill>
      <patternFill patternType="none"/>
    </fill>
    <fill>
      <patternFill patternType="gray125"/>
    </fill>
    <fill>
      <patternFill patternType="solid">
        <fgColor rgb="FFFFFF00"/>
        <bgColor rgb="FFFFFF00"/>
      </patternFill>
    </fill>
    <fill>
      <patternFill patternType="solid">
        <fgColor rgb="FF2F5597"/>
        <bgColor rgb="FF666699"/>
      </patternFill>
    </fill>
    <fill>
      <patternFill patternType="solid">
        <fgColor rgb="FFEDEDED"/>
        <bgColor rgb="FFEFEFEF"/>
      </patternFill>
    </fill>
    <fill>
      <patternFill patternType="solid">
        <fgColor rgb="FFEFEFEF"/>
        <bgColor rgb="FFEDEDED"/>
      </patternFill>
    </fill>
    <fill>
      <patternFill patternType="solid">
        <fgColor rgb="FFE8F1DE"/>
        <bgColor rgb="FFEDEDED"/>
      </patternFill>
    </fill>
    <fill>
      <patternFill patternType="solid">
        <fgColor rgb="FFD9E2F3"/>
        <bgColor rgb="FFEDEDED"/>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5" fillId="4" borderId="1" xfId="0" applyFont="true" applyBorder="true" applyAlignment="true" applyProtection="false">
      <alignment horizontal="general" vertical="bottom" textRotation="0" wrapText="false" indent="0" shrinkToFit="false"/>
      <protection locked="true" hidden="false"/>
    </xf>
    <xf numFmtId="165" fontId="5" fillId="4" borderId="1" xfId="0" applyFont="true" applyBorder="true" applyAlignment="true" applyProtection="false">
      <alignment horizontal="general" vertical="bottom" textRotation="0" wrapText="false" indent="0" shrinkToFit="false"/>
      <protection locked="true" hidden="false"/>
    </xf>
    <xf numFmtId="166" fontId="5" fillId="4" borderId="1" xfId="0" applyFont="true" applyBorder="true" applyAlignment="true" applyProtection="false">
      <alignment horizontal="general" vertical="bottom" textRotation="0" wrapText="false" indent="0" shrinkToFit="false"/>
      <protection locked="true" hidden="false"/>
    </xf>
    <xf numFmtId="167" fontId="5" fillId="4" borderId="1" xfId="0" applyFont="true" applyBorder="true" applyAlignment="true" applyProtection="false">
      <alignment horizontal="general" vertical="bottom" textRotation="0" wrapText="false" indent="0" shrinkToFit="false"/>
      <protection locked="true" hidden="false"/>
    </xf>
    <xf numFmtId="168" fontId="5" fillId="4" borderId="1" xfId="0" applyFont="true" applyBorder="true" applyAlignment="true" applyProtection="false">
      <alignment horizontal="general" vertical="bottom" textRotation="0" wrapText="false" indent="0" shrinkToFit="false"/>
      <protection locked="true" hidden="false"/>
    </xf>
    <xf numFmtId="169" fontId="7" fillId="5" borderId="1" xfId="0" applyFont="true" applyBorder="true" applyAlignment="true" applyProtection="false">
      <alignment horizontal="center" vertical="bottom" textRotation="0" wrapText="false" indent="0" shrinkToFit="false"/>
      <protection locked="true" hidden="false"/>
    </xf>
    <xf numFmtId="165" fontId="7" fillId="2" borderId="1" xfId="0" applyFont="true" applyBorder="true" applyAlignment="true" applyProtection="false">
      <alignment horizontal="general" vertical="bottom" textRotation="0" wrapText="false" indent="0" shrinkToFit="false"/>
      <protection locked="true" hidden="false"/>
    </xf>
    <xf numFmtId="166" fontId="7" fillId="5" borderId="1" xfId="0" applyFont="true" applyBorder="true" applyAlignment="true" applyProtection="false">
      <alignment horizontal="general" vertical="bottom" textRotation="0" wrapText="false" indent="0" shrinkToFit="false"/>
      <protection locked="true" hidden="false"/>
    </xf>
    <xf numFmtId="165" fontId="7" fillId="5" borderId="1" xfId="0" applyFont="true" applyBorder="true" applyAlignment="true" applyProtection="false">
      <alignment horizontal="general" vertical="bottom" textRotation="0" wrapText="false" indent="0" shrinkToFit="false"/>
      <protection locked="true" hidden="false"/>
    </xf>
    <xf numFmtId="167" fontId="7" fillId="5" borderId="1" xfId="0" applyFont="true" applyBorder="true" applyAlignment="true" applyProtection="false">
      <alignment horizontal="general" vertical="bottom" textRotation="0" wrapText="false" indent="0" shrinkToFit="false"/>
      <protection locked="true" hidden="false"/>
    </xf>
    <xf numFmtId="164" fontId="7" fillId="5" borderId="1" xfId="0" applyFont="true" applyBorder="true" applyAlignment="true" applyProtection="false">
      <alignment horizontal="general" vertical="bottom" textRotation="0" wrapText="false" indent="0" shrinkToFit="false"/>
      <protection locked="true" hidden="false"/>
    </xf>
    <xf numFmtId="168" fontId="7" fillId="2" borderId="1" xfId="0" applyFont="true" applyBorder="true" applyAlignment="true" applyProtection="false">
      <alignment horizontal="general" vertical="bottom" textRotation="0" wrapText="false" indent="0" shrinkToFit="false"/>
      <protection locked="true" hidden="false"/>
    </xf>
    <xf numFmtId="169" fontId="7" fillId="6" borderId="1" xfId="0" applyFont="true" applyBorder="true" applyAlignment="true" applyProtection="false">
      <alignment horizontal="center" vertical="bottom" textRotation="0" wrapText="false" indent="0" shrinkToFit="false"/>
      <protection locked="true" hidden="false"/>
    </xf>
    <xf numFmtId="164" fontId="7" fillId="6" borderId="1" xfId="0" applyFont="true" applyBorder="true" applyAlignment="true" applyProtection="false">
      <alignment horizontal="general" vertical="bottom" textRotation="0" wrapText="false" indent="0" shrinkToFit="false"/>
      <protection locked="true" hidden="false"/>
    </xf>
    <xf numFmtId="165" fontId="7" fillId="6" borderId="1" xfId="0" applyFont="true" applyBorder="true" applyAlignment="true" applyProtection="false">
      <alignment horizontal="general" vertical="bottom" textRotation="0" wrapText="false" indent="0" shrinkToFit="false"/>
      <protection locked="true" hidden="false"/>
    </xf>
    <xf numFmtId="166" fontId="7" fillId="6" borderId="1" xfId="0" applyFont="true" applyBorder="true" applyAlignment="true" applyProtection="false">
      <alignment horizontal="general" vertical="bottom" textRotation="0" wrapText="false" indent="0" shrinkToFit="false"/>
      <protection locked="true" hidden="false"/>
    </xf>
    <xf numFmtId="167" fontId="7" fillId="6" borderId="1" xfId="0" applyFont="true" applyBorder="true" applyAlignment="true" applyProtection="false">
      <alignment horizontal="general" vertical="bottom" textRotation="0" wrapText="false" indent="0" shrinkToFit="false"/>
      <protection locked="true" hidden="false"/>
    </xf>
    <xf numFmtId="168" fontId="7" fillId="6" borderId="1" xfId="0" applyFont="true" applyBorder="true" applyAlignment="tru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general" vertical="bottom" textRotation="0" wrapText="false" indent="0" shrinkToFit="false"/>
      <protection locked="true" hidden="false"/>
    </xf>
    <xf numFmtId="167" fontId="7" fillId="0" borderId="1" xfId="0" applyFont="true" applyBorder="true" applyAlignment="true" applyProtection="false">
      <alignment horizontal="general" vertical="bottom" textRotation="0" wrapText="false" indent="0" shrinkToFit="false"/>
      <protection locked="true" hidden="false"/>
    </xf>
    <xf numFmtId="166" fontId="7" fillId="0" borderId="1" xfId="0" applyFont="true" applyBorder="true" applyAlignment="true" applyProtection="false">
      <alignment horizontal="general" vertical="bottom" textRotation="0" wrapText="false" indent="0" shrinkToFit="false"/>
      <protection locked="true" hidden="false"/>
    </xf>
    <xf numFmtId="170" fontId="7" fillId="0" borderId="1" xfId="0" applyFont="true" applyBorder="true" applyAlignment="true" applyProtection="false">
      <alignment horizontal="general" vertical="bottom" textRotation="0" wrapText="false" indent="0" shrinkToFit="false"/>
      <protection locked="true" hidden="false"/>
    </xf>
    <xf numFmtId="168" fontId="7" fillId="0" borderId="1" xfId="0" applyFont="true" applyBorder="true" applyAlignment="true" applyProtection="false">
      <alignment horizontal="general" vertical="bottom" textRotation="0" wrapText="false" indent="0" shrinkToFit="false"/>
      <protection locked="true" hidden="false"/>
    </xf>
    <xf numFmtId="164" fontId="7" fillId="7" borderId="1" xfId="0" applyFont="true" applyBorder="true" applyAlignment="true" applyProtection="false">
      <alignment horizontal="general" vertical="bottom" textRotation="0" wrapText="false" indent="0" shrinkToFit="false"/>
      <protection locked="true" hidden="false"/>
    </xf>
    <xf numFmtId="166" fontId="7" fillId="0" borderId="0" xfId="0" applyFont="true" applyBorder="false" applyAlignment="tru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8F1DE"/>
      <rgbColor rgb="FFEFEFE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EDEDED"/>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F5597"/>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8"/>
    <col collapsed="false" customWidth="true" hidden="false" outlineLevel="0" max="2" min="2" style="1" width="18"/>
    <col collapsed="false" customWidth="true" hidden="false" outlineLevel="0" max="3" min="3" style="1" width="20"/>
    <col collapsed="false" customWidth="true" hidden="false" outlineLevel="0" max="4" min="4" style="1" width="44"/>
  </cols>
  <sheetData>
    <row r="1" customFormat="false" ht="17.25" hidden="false" customHeight="true" outlineLevel="0" collapsed="false">
      <c r="A1" s="2" t="s">
        <v>0</v>
      </c>
    </row>
    <row r="2" customFormat="false" ht="15" hidden="false" customHeight="true" outlineLevel="0" collapsed="false">
      <c r="A2" s="3" t="s">
        <v>1</v>
      </c>
    </row>
    <row r="4" customFormat="false" ht="15" hidden="false" customHeight="true" outlineLevel="0" collapsed="false">
      <c r="A4" s="4" t="s">
        <v>2</v>
      </c>
    </row>
    <row r="5" customFormat="false" ht="15" hidden="false" customHeight="true" outlineLevel="0" collapsed="false">
      <c r="A5" s="5" t="s">
        <v>3</v>
      </c>
      <c r="B5" s="6" t="s">
        <v>4</v>
      </c>
      <c r="C5" s="6" t="s">
        <v>5</v>
      </c>
      <c r="D5" s="3" t="s">
        <v>6</v>
      </c>
    </row>
    <row r="6" customFormat="false" ht="15" hidden="false" customHeight="true" outlineLevel="0" collapsed="false">
      <c r="A6" s="5" t="s">
        <v>7</v>
      </c>
      <c r="B6" s="6" t="s">
        <v>8</v>
      </c>
      <c r="C6" s="6" t="s">
        <v>9</v>
      </c>
    </row>
    <row r="7" customFormat="false" ht="15" hidden="false" customHeight="true" outlineLevel="0" collapsed="false">
      <c r="A7" s="5" t="s">
        <v>10</v>
      </c>
      <c r="B7" s="6" t="s">
        <v>11</v>
      </c>
      <c r="C7" s="6" t="s">
        <v>12</v>
      </c>
    </row>
    <row r="9" customFormat="false" ht="15" hidden="false" customHeight="true" outlineLevel="0" collapsed="false">
      <c r="A9" s="4" t="s">
        <v>13</v>
      </c>
    </row>
    <row r="10" customFormat="false" ht="15" hidden="false" customHeight="true" outlineLevel="0" collapsed="false">
      <c r="A10" s="5" t="s">
        <v>14</v>
      </c>
    </row>
    <row r="11" customFormat="false" ht="15" hidden="false" customHeight="true" outlineLevel="0" collapsed="false">
      <c r="A11" s="5" t="s">
        <v>15</v>
      </c>
    </row>
    <row r="12" customFormat="false" ht="15" hidden="false" customHeight="true" outlineLevel="0" collapsed="false">
      <c r="A12" s="5" t="s">
        <v>16</v>
      </c>
    </row>
    <row r="13" customFormat="false" ht="15" hidden="false" customHeight="true" outlineLevel="0" collapsed="false">
      <c r="A13" s="5" t="s">
        <v>17</v>
      </c>
    </row>
    <row r="14" customFormat="false" ht="15" hidden="false" customHeight="true" outlineLevel="0" collapsed="false">
      <c r="A14" s="5" t="s">
        <v>18</v>
      </c>
    </row>
    <row r="17" customFormat="false" ht="15" hidden="false" customHeight="true" outlineLevel="0" collapsed="false">
      <c r="A17" s="4" t="s">
        <v>19</v>
      </c>
    </row>
    <row r="18" customFormat="false" ht="15" hidden="false" customHeight="true" outlineLevel="0" collapsed="false">
      <c r="A18" s="5" t="s">
        <v>20</v>
      </c>
    </row>
    <row r="19" customFormat="false" ht="15" hidden="false" customHeight="true" outlineLevel="0" collapsed="false">
      <c r="A19" s="5" t="s">
        <v>21</v>
      </c>
    </row>
    <row r="20" customFormat="false" ht="15" hidden="false" customHeight="true" outlineLevel="0" collapsed="false">
      <c r="A20" s="5" t="s">
        <v>22</v>
      </c>
    </row>
    <row r="21" customFormat="false" ht="15" hidden="false" customHeight="true" outlineLevel="0" collapsed="false">
      <c r="A21" s="5" t="s">
        <v>23</v>
      </c>
    </row>
    <row r="22" customFormat="false" ht="15" hidden="false" customHeight="true" outlineLevel="0" collapsed="false">
      <c r="A22" s="5" t="s">
        <v>24</v>
      </c>
    </row>
    <row r="23" customFormat="false" ht="15" hidden="false" customHeight="true" outlineLevel="0" collapsed="false">
      <c r="A23" s="5" t="s">
        <v>25</v>
      </c>
    </row>
    <row r="26" customFormat="false" ht="15" hidden="false" customHeight="true" outlineLevel="0" collapsed="false">
      <c r="A26" s="4" t="s">
        <v>26</v>
      </c>
    </row>
    <row r="27" customFormat="false" ht="15" hidden="false" customHeight="true" outlineLevel="0" collapsed="false">
      <c r="A27" s="5" t="s">
        <v>27</v>
      </c>
    </row>
    <row r="28" customFormat="false" ht="15" hidden="false" customHeight="true" outlineLevel="0" collapsed="false">
      <c r="A28" s="5" t="s">
        <v>28</v>
      </c>
    </row>
    <row r="29" customFormat="false" ht="15" hidden="false" customHeight="true" outlineLevel="0" collapsed="false">
      <c r="A29" s="5" t="s">
        <v>29</v>
      </c>
    </row>
    <row r="30" customFormat="false" ht="15" hidden="false" customHeight="true" outlineLevel="0" collapsed="false">
      <c r="A30" s="5" t="s">
        <v>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8"/>
    <col collapsed="false" customWidth="true" hidden="false" outlineLevel="0" max="3" min="3" style="1" width="34"/>
    <col collapsed="false" customWidth="true" hidden="false" outlineLevel="0" max="4" min="4" style="1" width="10"/>
    <col collapsed="false" customWidth="true" hidden="false" outlineLevel="0" max="5" min="5" style="1" width="7"/>
    <col collapsed="false" customWidth="true" hidden="false" outlineLevel="0" max="6" min="6" style="1" width="13"/>
    <col collapsed="false" customWidth="true" hidden="false" outlineLevel="0" max="7" min="7" style="1" width="44"/>
  </cols>
  <sheetData>
    <row r="1" customFormat="false" ht="17.25" hidden="false" customHeight="true" outlineLevel="0" collapsed="false">
      <c r="A1" s="2" t="s">
        <v>31</v>
      </c>
    </row>
    <row r="2" customFormat="false" ht="15" hidden="false" customHeight="true" outlineLevel="0" collapsed="false">
      <c r="A2" s="3" t="s">
        <v>32</v>
      </c>
    </row>
    <row r="4" customFormat="false" ht="15" hidden="false" customHeight="true" outlineLevel="0" collapsed="false">
      <c r="A4" s="7" t="s">
        <v>33</v>
      </c>
      <c r="B4" s="7" t="s">
        <v>34</v>
      </c>
      <c r="C4" s="7" t="s">
        <v>35</v>
      </c>
      <c r="D4" s="7" t="s">
        <v>36</v>
      </c>
      <c r="E4" s="7" t="s">
        <v>37</v>
      </c>
      <c r="F4" s="7" t="s">
        <v>38</v>
      </c>
      <c r="G4" s="7" t="s">
        <v>39</v>
      </c>
    </row>
    <row r="5" customFormat="false" ht="15" hidden="false" customHeight="true" outlineLevel="0" collapsed="false">
      <c r="A5" s="8" t="n">
        <v>1</v>
      </c>
      <c r="B5" s="9" t="n">
        <v>1131</v>
      </c>
      <c r="C5" s="9" t="s">
        <v>40</v>
      </c>
      <c r="D5" s="9" t="s">
        <v>41</v>
      </c>
      <c r="E5" s="9" t="n">
        <v>1</v>
      </c>
      <c r="F5" s="9" t="s">
        <v>42</v>
      </c>
      <c r="G5" s="9" t="s">
        <v>43</v>
      </c>
    </row>
    <row r="6" customFormat="false" ht="15" hidden="false" customHeight="true" outlineLevel="0" collapsed="false">
      <c r="A6" s="8" t="n">
        <v>2</v>
      </c>
      <c r="B6" s="9" t="n">
        <v>1961</v>
      </c>
      <c r="C6" s="9" t="s">
        <v>44</v>
      </c>
      <c r="D6" s="9" t="s">
        <v>41</v>
      </c>
      <c r="E6" s="9" t="n">
        <v>2</v>
      </c>
      <c r="F6" s="9" t="s">
        <v>42</v>
      </c>
      <c r="G6" s="9" t="s">
        <v>45</v>
      </c>
    </row>
    <row r="7" customFormat="false" ht="15" hidden="false" customHeight="true" outlineLevel="0" collapsed="false">
      <c r="A7" s="8" t="n">
        <v>3</v>
      </c>
      <c r="B7" s="9" t="n">
        <v>2551</v>
      </c>
      <c r="C7" s="9" t="s">
        <v>46</v>
      </c>
      <c r="D7" s="9" t="s">
        <v>41</v>
      </c>
      <c r="E7" s="9" t="n">
        <v>3</v>
      </c>
      <c r="F7" s="9" t="s">
        <v>42</v>
      </c>
      <c r="G7" s="9" t="s">
        <v>47</v>
      </c>
    </row>
    <row r="8" customFormat="false" ht="15" hidden="false" customHeight="true" outlineLevel="0" collapsed="false">
      <c r="A8" s="8" t="n">
        <v>4</v>
      </c>
      <c r="B8" s="9" t="n">
        <v>1253</v>
      </c>
      <c r="C8" s="9" t="s">
        <v>48</v>
      </c>
      <c r="D8" s="9" t="s">
        <v>41</v>
      </c>
      <c r="E8" s="9" t="n">
        <v>3</v>
      </c>
      <c r="F8" s="9" t="s">
        <v>49</v>
      </c>
      <c r="G8" s="9" t="s">
        <v>50</v>
      </c>
    </row>
    <row r="9" customFormat="false" ht="15" hidden="false" customHeight="true" outlineLevel="0" collapsed="false">
      <c r="A9" s="8" t="n">
        <v>5</v>
      </c>
      <c r="B9" s="9" t="n">
        <v>2437</v>
      </c>
      <c r="C9" s="9" t="s">
        <v>51</v>
      </c>
      <c r="D9" s="9" t="s">
        <v>41</v>
      </c>
      <c r="E9" s="9" t="n">
        <v>4</v>
      </c>
      <c r="F9" s="9" t="s">
        <v>52</v>
      </c>
      <c r="G9" s="9" t="s">
        <v>53</v>
      </c>
    </row>
    <row r="10" customFormat="false" ht="15" hidden="false" customHeight="true" outlineLevel="0" collapsed="false">
      <c r="A10" s="8" t="n">
        <v>6</v>
      </c>
      <c r="B10" s="9" t="n">
        <v>2867</v>
      </c>
      <c r="C10" s="9" t="s">
        <v>54</v>
      </c>
      <c r="D10" s="9" t="s">
        <v>55</v>
      </c>
      <c r="E10" s="9" t="n">
        <v>5</v>
      </c>
      <c r="F10" s="9" t="s">
        <v>42</v>
      </c>
      <c r="G10" s="9" t="s">
        <v>56</v>
      </c>
    </row>
    <row r="11" customFormat="false" ht="15" hidden="false" customHeight="true" outlineLevel="0" collapsed="false">
      <c r="A11" s="8" t="n">
        <v>7</v>
      </c>
      <c r="B11" s="9" t="n">
        <v>2253</v>
      </c>
      <c r="C11" s="9" t="s">
        <v>57</v>
      </c>
      <c r="D11" s="9" t="s">
        <v>55</v>
      </c>
      <c r="E11" s="9" t="n">
        <v>5</v>
      </c>
      <c r="F11" s="9" t="s">
        <v>49</v>
      </c>
      <c r="G11" s="9" t="s">
        <v>58</v>
      </c>
    </row>
    <row r="12" customFormat="false" ht="15" hidden="false" customHeight="true" outlineLevel="0" collapsed="false">
      <c r="A12" s="8" t="n">
        <v>8</v>
      </c>
      <c r="B12" s="9" t="n">
        <v>1032</v>
      </c>
      <c r="C12" s="9" t="s">
        <v>59</v>
      </c>
      <c r="D12" s="9" t="s">
        <v>55</v>
      </c>
      <c r="E12" s="9" t="n">
        <v>6</v>
      </c>
      <c r="F12" s="9" t="s">
        <v>52</v>
      </c>
      <c r="G12" s="9" t="s">
        <v>60</v>
      </c>
    </row>
    <row r="13" customFormat="false" ht="15" hidden="false" customHeight="true" outlineLevel="0" collapsed="false">
      <c r="A13" s="8" t="n">
        <v>9</v>
      </c>
      <c r="B13" s="9" t="n">
        <v>1033</v>
      </c>
      <c r="C13" s="9" t="s">
        <v>61</v>
      </c>
      <c r="D13" s="9" t="s">
        <v>55</v>
      </c>
      <c r="E13" s="9" t="n">
        <v>6</v>
      </c>
      <c r="F13" s="9" t="s">
        <v>62</v>
      </c>
      <c r="G13" s="9" t="s">
        <v>63</v>
      </c>
    </row>
    <row r="14" customFormat="false" ht="15" hidden="false" customHeight="true" outlineLevel="0" collapsed="false">
      <c r="A14" s="8" t="n">
        <v>10</v>
      </c>
      <c r="B14" s="9" t="n">
        <v>1243</v>
      </c>
      <c r="C14" s="9" t="s">
        <v>64</v>
      </c>
      <c r="D14" s="9" t="s">
        <v>55</v>
      </c>
      <c r="E14" s="9" t="n">
        <v>7</v>
      </c>
      <c r="F14" s="9" t="s">
        <v>49</v>
      </c>
      <c r="G14" s="9" t="s">
        <v>65</v>
      </c>
    </row>
    <row r="15" customFormat="false" ht="15" hidden="false" customHeight="true" outlineLevel="0" collapsed="false">
      <c r="A15" s="8" t="n">
        <v>11</v>
      </c>
      <c r="B15" s="9" t="n">
        <v>1084</v>
      </c>
      <c r="C15" s="9" t="s">
        <v>66</v>
      </c>
      <c r="D15" s="9" t="s">
        <v>67</v>
      </c>
      <c r="E15" s="9" t="n">
        <v>8</v>
      </c>
      <c r="F15" s="9" t="s">
        <v>62</v>
      </c>
      <c r="G15" s="9" t="s">
        <v>68</v>
      </c>
    </row>
    <row r="16" customFormat="false" ht="15" hidden="false" customHeight="true" outlineLevel="0" collapsed="false">
      <c r="A16" s="8" t="n">
        <v>12</v>
      </c>
      <c r="B16" s="9" t="n">
        <v>1034</v>
      </c>
      <c r="C16" s="9" t="s">
        <v>69</v>
      </c>
      <c r="D16" s="9" t="s">
        <v>67</v>
      </c>
      <c r="E16" s="9" t="n">
        <v>8</v>
      </c>
      <c r="F16" s="9" t="s">
        <v>62</v>
      </c>
      <c r="G16" s="9" t="s">
        <v>70</v>
      </c>
    </row>
    <row r="17" customFormat="false" ht="15" hidden="false" customHeight="true" outlineLevel="0" collapsed="false">
      <c r="A17" s="8" t="n">
        <v>13</v>
      </c>
      <c r="B17" s="9" t="n">
        <v>1027</v>
      </c>
      <c r="C17" s="9" t="s">
        <v>71</v>
      </c>
      <c r="D17" s="9" t="s">
        <v>67</v>
      </c>
      <c r="E17" s="9" t="n">
        <v>9</v>
      </c>
      <c r="F17" s="9" t="s">
        <v>62</v>
      </c>
      <c r="G17" s="9" t="s">
        <v>72</v>
      </c>
    </row>
    <row r="18" customFormat="false" ht="15" hidden="false" customHeight="true" outlineLevel="0" collapsed="false">
      <c r="A18" s="8" t="n">
        <v>14</v>
      </c>
      <c r="B18" s="9" t="n">
        <v>1092</v>
      </c>
      <c r="C18" s="9" t="s">
        <v>73</v>
      </c>
      <c r="D18" s="9" t="s">
        <v>67</v>
      </c>
      <c r="E18" s="9" t="n">
        <v>9</v>
      </c>
      <c r="F18" s="9" t="s">
        <v>52</v>
      </c>
      <c r="G18" s="9" t="s">
        <v>74</v>
      </c>
    </row>
    <row r="19" customFormat="false" ht="15" hidden="false" customHeight="true" outlineLevel="0" collapsed="false">
      <c r="A19" s="8" t="n">
        <v>15</v>
      </c>
      <c r="B19" s="9" t="n">
        <v>1141</v>
      </c>
      <c r="C19" s="9" t="s">
        <v>75</v>
      </c>
      <c r="D19" s="9" t="s">
        <v>67</v>
      </c>
      <c r="E19" s="9" t="n">
        <v>10</v>
      </c>
      <c r="F19" s="9" t="s">
        <v>49</v>
      </c>
      <c r="G19" s="9" t="s">
        <v>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9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9"/>
    <col collapsed="false" customWidth="true" hidden="false" outlineLevel="0" max="3" min="3" style="1" width="13"/>
    <col collapsed="false" customWidth="true" hidden="false" outlineLevel="0" max="4" min="4" style="1" width="9"/>
    <col collapsed="false" customWidth="true" hidden="false" outlineLevel="0" max="5" min="5" style="1" width="13"/>
    <col collapsed="false" customWidth="true" hidden="false" outlineLevel="0" max="6" min="6" style="1" width="19"/>
    <col collapsed="false" customWidth="true" hidden="false" outlineLevel="0" max="9" min="7" style="1" width="12"/>
    <col collapsed="false" customWidth="true" hidden="false" outlineLevel="0" max="12" min="10" style="1" width="19"/>
    <col collapsed="false" customWidth="true" hidden="false" outlineLevel="0" max="13" min="13" style="1" width="12"/>
    <col collapsed="false" customWidth="true" hidden="false" outlineLevel="0" max="15" min="14" style="1" width="13"/>
    <col collapsed="false" customWidth="true" hidden="false" outlineLevel="0" max="16" min="16" style="1" width="8"/>
    <col collapsed="false" customWidth="true" hidden="false" outlineLevel="0" max="17" min="17" style="1" width="13"/>
    <col collapsed="false" customWidth="true" hidden="false" outlineLevel="0" max="18" min="18" style="1" width="15"/>
    <col collapsed="false" customWidth="true" hidden="false" outlineLevel="0" max="19" min="19" style="1" width="13"/>
    <col collapsed="false" customWidth="true" hidden="false" outlineLevel="0" max="20" min="20" style="1" width="34"/>
  </cols>
  <sheetData>
    <row r="1" customFormat="false" ht="43.5" hidden="false" customHeight="true" outlineLevel="0" collapsed="false">
      <c r="A1" s="10" t="s">
        <v>77</v>
      </c>
      <c r="B1" s="10" t="s">
        <v>36</v>
      </c>
      <c r="C1" s="10" t="s">
        <v>78</v>
      </c>
      <c r="D1" s="10" t="s">
        <v>79</v>
      </c>
      <c r="E1" s="10" t="s">
        <v>80</v>
      </c>
      <c r="F1" s="10" t="s">
        <v>81</v>
      </c>
      <c r="G1" s="10" t="s">
        <v>82</v>
      </c>
      <c r="H1" s="10" t="s">
        <v>83</v>
      </c>
      <c r="I1" s="10" t="s">
        <v>84</v>
      </c>
      <c r="J1" s="10" t="s">
        <v>85</v>
      </c>
      <c r="K1" s="10" t="s">
        <v>86</v>
      </c>
      <c r="L1" s="10" t="s">
        <v>87</v>
      </c>
      <c r="M1" s="10" t="s">
        <v>88</v>
      </c>
      <c r="N1" s="10" t="s">
        <v>89</v>
      </c>
      <c r="O1" s="10" t="s">
        <v>90</v>
      </c>
      <c r="P1" s="10" t="s">
        <v>91</v>
      </c>
      <c r="Q1" s="10" t="s">
        <v>92</v>
      </c>
      <c r="R1" s="10" t="s">
        <v>93</v>
      </c>
      <c r="S1" s="10" t="s">
        <v>94</v>
      </c>
      <c r="T1" s="10" t="s">
        <v>95</v>
      </c>
    </row>
    <row r="2" customFormat="false" ht="15" hidden="false" customHeight="true" outlineLevel="0" collapsed="false">
      <c r="A2" s="11" t="n">
        <v>1131</v>
      </c>
      <c r="B2" s="11" t="s">
        <v>41</v>
      </c>
      <c r="C2" s="11" t="s">
        <v>4</v>
      </c>
      <c r="D2" s="12" t="n">
        <v>1</v>
      </c>
      <c r="E2" s="11" t="s">
        <v>96</v>
      </c>
      <c r="F2" s="11" t="s">
        <v>5</v>
      </c>
      <c r="G2" s="11" t="s">
        <v>97</v>
      </c>
      <c r="H2" s="12" t="n">
        <v>2</v>
      </c>
      <c r="I2" s="11" t="s">
        <v>98</v>
      </c>
      <c r="J2" s="11" t="s">
        <v>99</v>
      </c>
      <c r="K2" s="11" t="s">
        <v>98</v>
      </c>
      <c r="L2" s="11" t="s">
        <v>100</v>
      </c>
      <c r="M2" s="13" t="n">
        <v>9.12</v>
      </c>
      <c r="N2" s="12" t="n">
        <v>5</v>
      </c>
      <c r="O2" s="13" t="n">
        <v>64.3</v>
      </c>
      <c r="P2" s="12" t="n">
        <v>18</v>
      </c>
      <c r="Q2" s="14" t="n">
        <v>0</v>
      </c>
      <c r="R2" s="11" t="s">
        <v>101</v>
      </c>
      <c r="S2" s="15" t="n">
        <v>0.048</v>
      </c>
      <c r="T2" s="11" t="s">
        <v>102</v>
      </c>
    </row>
    <row r="3" customFormat="false" ht="15" hidden="false" customHeight="true" outlineLevel="0" collapsed="false">
      <c r="A3" s="16" t="n">
        <f aca="false">IF(Problemas!$B$5="","",Problemas!$B$5)</f>
        <v>1131</v>
      </c>
      <c r="B3" s="16" t="str">
        <f aca="false">IF(Problemas!$D$5="","",Problemas!$D$5)</f>
        <v>Fácil</v>
      </c>
      <c r="C3" s="16" t="str">
        <f aca="false">Instrucoes!$B$5</f>
        <v>ChatGPT</v>
      </c>
      <c r="D3" s="16" t="n">
        <v>1</v>
      </c>
      <c r="E3" s="6" t="s">
        <v>103</v>
      </c>
      <c r="F3" s="6" t="s">
        <v>5</v>
      </c>
      <c r="G3" s="6" t="s">
        <v>104</v>
      </c>
      <c r="H3" s="17" t="n">
        <v>1</v>
      </c>
      <c r="I3" s="6" t="s">
        <v>98</v>
      </c>
      <c r="J3" s="6" t="s">
        <v>98</v>
      </c>
      <c r="K3" s="6" t="s">
        <v>100</v>
      </c>
      <c r="L3" s="6" t="s">
        <v>100</v>
      </c>
      <c r="M3" s="18" t="n">
        <v>10</v>
      </c>
      <c r="N3" s="19" t="n">
        <v>7</v>
      </c>
      <c r="O3" s="18" t="n">
        <v>54.66</v>
      </c>
      <c r="P3" s="19" t="n">
        <v>25</v>
      </c>
      <c r="Q3" s="20" t="n">
        <v>0</v>
      </c>
      <c r="R3" s="21" t="s">
        <v>101</v>
      </c>
      <c r="S3" s="22" t="n">
        <v>0</v>
      </c>
      <c r="T3" s="6"/>
    </row>
    <row r="4" customFormat="false" ht="15" hidden="false" customHeight="true" outlineLevel="0" collapsed="false">
      <c r="A4" s="16" t="n">
        <f aca="false">IF(Problemas!$B$5="","",Problemas!$B$5)</f>
        <v>1131</v>
      </c>
      <c r="B4" s="16" t="str">
        <f aca="false">IF(Problemas!$D$5="","",Problemas!$D$5)</f>
        <v>Fácil</v>
      </c>
      <c r="C4" s="16" t="str">
        <f aca="false">Instrucoes!$B$6</f>
        <v>Gemini</v>
      </c>
      <c r="D4" s="16" t="n">
        <v>1</v>
      </c>
      <c r="E4" s="6" t="s">
        <v>103</v>
      </c>
      <c r="F4" s="6" t="s">
        <v>9</v>
      </c>
      <c r="G4" s="6" t="s">
        <v>104</v>
      </c>
      <c r="H4" s="17" t="n">
        <v>1</v>
      </c>
      <c r="I4" s="6" t="s">
        <v>98</v>
      </c>
      <c r="J4" s="6" t="s">
        <v>98</v>
      </c>
      <c r="K4" s="6" t="s">
        <v>100</v>
      </c>
      <c r="L4" s="6" t="s">
        <v>100</v>
      </c>
      <c r="M4" s="18" t="n">
        <v>8.42</v>
      </c>
      <c r="N4" s="19" t="n">
        <v>10</v>
      </c>
      <c r="O4" s="18" t="n">
        <v>47.27</v>
      </c>
      <c r="P4" s="19" t="n">
        <v>41</v>
      </c>
      <c r="Q4" s="20" t="n">
        <v>0</v>
      </c>
      <c r="R4" s="21" t="s">
        <v>105</v>
      </c>
      <c r="S4" s="22" t="n">
        <v>0</v>
      </c>
      <c r="T4" s="6"/>
    </row>
    <row r="5" customFormat="false" ht="15" hidden="false" customHeight="true" outlineLevel="0" collapsed="false">
      <c r="A5" s="16" t="n">
        <f aca="false">IF(Problemas!$B$5="","",Problemas!$B$5)</f>
        <v>1131</v>
      </c>
      <c r="B5" s="16" t="str">
        <f aca="false">IF(Problemas!$D$5="","",Problemas!$D$5)</f>
        <v>Fácil</v>
      </c>
      <c r="C5" s="16" t="str">
        <f aca="false">Instrucoes!$B$7</f>
        <v>Claude</v>
      </c>
      <c r="D5" s="16" t="n">
        <v>1</v>
      </c>
      <c r="E5" s="6" t="s">
        <v>103</v>
      </c>
      <c r="F5" s="6" t="s">
        <v>12</v>
      </c>
      <c r="G5" s="6" t="s">
        <v>104</v>
      </c>
      <c r="H5" s="17" t="n">
        <v>1</v>
      </c>
      <c r="I5" s="6" t="s">
        <v>98</v>
      </c>
      <c r="J5" s="6" t="s">
        <v>98</v>
      </c>
      <c r="K5" s="6" t="s">
        <v>100</v>
      </c>
      <c r="L5" s="6" t="s">
        <v>100</v>
      </c>
      <c r="M5" s="18" t="n">
        <v>9.14</v>
      </c>
      <c r="N5" s="19" t="n">
        <v>8</v>
      </c>
      <c r="O5" s="18" t="n">
        <v>49.43</v>
      </c>
      <c r="P5" s="19" t="n">
        <v>34</v>
      </c>
      <c r="Q5" s="20" t="n">
        <v>0</v>
      </c>
      <c r="R5" s="21" t="s">
        <v>105</v>
      </c>
      <c r="S5" s="22" t="n">
        <v>0</v>
      </c>
      <c r="T5" s="6"/>
    </row>
    <row r="6" customFormat="false" ht="15" hidden="false" customHeight="true" outlineLevel="0" collapsed="false">
      <c r="A6" s="16" t="n">
        <f aca="false">IF(Problemas!$B$6="","",Problemas!$B$6)</f>
        <v>1961</v>
      </c>
      <c r="B6" s="16" t="str">
        <f aca="false">IF(Problemas!$D$6="","",Problemas!$D$6)</f>
        <v>Fácil</v>
      </c>
      <c r="C6" s="16" t="str">
        <f aca="false">Instrucoes!$B$5</f>
        <v>ChatGPT</v>
      </c>
      <c r="D6" s="16" t="n">
        <v>1</v>
      </c>
      <c r="E6" s="6" t="s">
        <v>103</v>
      </c>
      <c r="F6" s="6" t="s">
        <v>5</v>
      </c>
      <c r="G6" s="6" t="s">
        <v>104</v>
      </c>
      <c r="H6" s="17" t="n">
        <v>1</v>
      </c>
      <c r="I6" s="6" t="s">
        <v>98</v>
      </c>
      <c r="J6" s="6" t="s">
        <v>98</v>
      </c>
      <c r="K6" s="6" t="s">
        <v>100</v>
      </c>
      <c r="L6" s="6" t="s">
        <v>100</v>
      </c>
      <c r="M6" s="18" t="n">
        <v>10</v>
      </c>
      <c r="N6" s="19" t="n">
        <v>4</v>
      </c>
      <c r="O6" s="18" t="n">
        <v>68.55</v>
      </c>
      <c r="P6" s="19" t="n">
        <v>8</v>
      </c>
      <c r="Q6" s="20" t="n">
        <v>0</v>
      </c>
      <c r="R6" s="21" t="s">
        <v>101</v>
      </c>
      <c r="S6" s="22" t="n">
        <v>0</v>
      </c>
      <c r="T6" s="6"/>
    </row>
    <row r="7" customFormat="false" ht="15" hidden="false" customHeight="true" outlineLevel="0" collapsed="false">
      <c r="A7" s="16" t="n">
        <f aca="false">IF(Problemas!$B$6="","",Problemas!$B$6)</f>
        <v>1961</v>
      </c>
      <c r="B7" s="16" t="str">
        <f aca="false">IF(Problemas!$D$6="","",Problemas!$D$6)</f>
        <v>Fácil</v>
      </c>
      <c r="C7" s="16" t="str">
        <f aca="false">Instrucoes!$B$6</f>
        <v>Gemini</v>
      </c>
      <c r="D7" s="16" t="n">
        <v>1</v>
      </c>
      <c r="E7" s="6" t="s">
        <v>103</v>
      </c>
      <c r="F7" s="6" t="s">
        <v>9</v>
      </c>
      <c r="G7" s="6" t="s">
        <v>104</v>
      </c>
      <c r="H7" s="17" t="n">
        <v>1</v>
      </c>
      <c r="I7" s="6" t="s">
        <v>98</v>
      </c>
      <c r="J7" s="6" t="s">
        <v>98</v>
      </c>
      <c r="K7" s="6" t="s">
        <v>100</v>
      </c>
      <c r="L7" s="6" t="s">
        <v>100</v>
      </c>
      <c r="M7" s="18" t="n">
        <v>8</v>
      </c>
      <c r="N7" s="19" t="n">
        <v>6</v>
      </c>
      <c r="O7" s="18" t="n">
        <v>59.6</v>
      </c>
      <c r="P7" s="19" t="n">
        <v>15</v>
      </c>
      <c r="Q7" s="20" t="n">
        <v>0</v>
      </c>
      <c r="R7" s="21" t="s">
        <v>105</v>
      </c>
      <c r="S7" s="22" t="n">
        <v>0</v>
      </c>
      <c r="T7" s="6"/>
    </row>
    <row r="8" customFormat="false" ht="15" hidden="false" customHeight="true" outlineLevel="0" collapsed="false">
      <c r="A8" s="16" t="n">
        <f aca="false">IF(Problemas!$B$6="","",Problemas!$B$6)</f>
        <v>1961</v>
      </c>
      <c r="B8" s="16" t="str">
        <f aca="false">IF(Problemas!$D$6="","",Problemas!$D$6)</f>
        <v>Fácil</v>
      </c>
      <c r="C8" s="16" t="str">
        <f aca="false">Instrucoes!$B$7</f>
        <v>Claude</v>
      </c>
      <c r="D8" s="16" t="n">
        <v>1</v>
      </c>
      <c r="E8" s="6" t="s">
        <v>103</v>
      </c>
      <c r="F8" s="6" t="s">
        <v>12</v>
      </c>
      <c r="G8" s="6" t="s">
        <v>104</v>
      </c>
      <c r="H8" s="17" t="n">
        <v>1</v>
      </c>
      <c r="I8" s="6" t="s">
        <v>98</v>
      </c>
      <c r="J8" s="6" t="s">
        <v>98</v>
      </c>
      <c r="K8" s="6" t="s">
        <v>100</v>
      </c>
      <c r="L8" s="6" t="s">
        <v>100</v>
      </c>
      <c r="M8" s="18" t="n">
        <v>8.12</v>
      </c>
      <c r="N8" s="19" t="n">
        <v>5</v>
      </c>
      <c r="O8" s="18" t="n">
        <v>60.62</v>
      </c>
      <c r="P8" s="19" t="n">
        <v>14</v>
      </c>
      <c r="Q8" s="20" t="n">
        <v>0</v>
      </c>
      <c r="R8" s="21" t="s">
        <v>105</v>
      </c>
      <c r="S8" s="22" t="n">
        <v>0</v>
      </c>
      <c r="T8" s="6"/>
    </row>
    <row r="9" customFormat="false" ht="15" hidden="false" customHeight="true" outlineLevel="0" collapsed="false">
      <c r="A9" s="16" t="n">
        <f aca="false">IF(Problemas!$B$7="","",Problemas!$B$7)</f>
        <v>2551</v>
      </c>
      <c r="B9" s="16" t="str">
        <f aca="false">IF(Problemas!$D$7="","",Problemas!$D$7)</f>
        <v>Fácil</v>
      </c>
      <c r="C9" s="16" t="str">
        <f aca="false">Instrucoes!$B$5</f>
        <v>ChatGPT</v>
      </c>
      <c r="D9" s="16" t="n">
        <v>1</v>
      </c>
      <c r="E9" s="6" t="s">
        <v>103</v>
      </c>
      <c r="F9" s="6" t="s">
        <v>5</v>
      </c>
      <c r="G9" s="6" t="s">
        <v>97</v>
      </c>
      <c r="H9" s="17"/>
      <c r="I9" s="6" t="s">
        <v>106</v>
      </c>
      <c r="J9" s="6" t="s">
        <v>107</v>
      </c>
      <c r="K9" s="6" t="s">
        <v>107</v>
      </c>
      <c r="L9" s="6" t="s">
        <v>107</v>
      </c>
      <c r="M9" s="18" t="n">
        <v>9.5</v>
      </c>
      <c r="N9" s="19" t="n">
        <v>6</v>
      </c>
      <c r="O9" s="18" t="n">
        <v>68.48</v>
      </c>
      <c r="P9" s="19" t="n">
        <v>20</v>
      </c>
      <c r="Q9" s="20" t="n">
        <v>0.0476</v>
      </c>
      <c r="R9" s="21" t="s">
        <v>105</v>
      </c>
      <c r="S9" s="22"/>
      <c r="T9" s="6" t="s">
        <v>108</v>
      </c>
    </row>
    <row r="10" customFormat="false" ht="15" hidden="false" customHeight="true" outlineLevel="0" collapsed="false">
      <c r="A10" s="16" t="n">
        <f aca="false">IF(Problemas!$B$7="","",Problemas!$B$7)</f>
        <v>2551</v>
      </c>
      <c r="B10" s="16" t="str">
        <f aca="false">IF(Problemas!$D$7="","",Problemas!$D$7)</f>
        <v>Fácil</v>
      </c>
      <c r="C10" s="16" t="str">
        <f aca="false">Instrucoes!$B$6</f>
        <v>Gemini</v>
      </c>
      <c r="D10" s="16" t="n">
        <v>1</v>
      </c>
      <c r="E10" s="6" t="s">
        <v>103</v>
      </c>
      <c r="F10" s="6" t="s">
        <v>9</v>
      </c>
      <c r="G10" s="6" t="s">
        <v>104</v>
      </c>
      <c r="H10" s="17" t="n">
        <v>1</v>
      </c>
      <c r="I10" s="6" t="s">
        <v>98</v>
      </c>
      <c r="J10" s="6" t="s">
        <v>98</v>
      </c>
      <c r="K10" s="6" t="s">
        <v>100</v>
      </c>
      <c r="L10" s="6" t="s">
        <v>100</v>
      </c>
      <c r="M10" s="18" t="n">
        <v>6.19</v>
      </c>
      <c r="N10" s="19" t="n">
        <v>6</v>
      </c>
      <c r="O10" s="18" t="n">
        <v>55.82</v>
      </c>
      <c r="P10" s="19" t="n">
        <v>21</v>
      </c>
      <c r="Q10" s="20" t="n">
        <v>0</v>
      </c>
      <c r="R10" s="21" t="s">
        <v>105</v>
      </c>
      <c r="S10" s="22" t="n">
        <v>0</v>
      </c>
      <c r="T10" s="6"/>
    </row>
    <row r="11" customFormat="false" ht="15" hidden="false" customHeight="true" outlineLevel="0" collapsed="false">
      <c r="A11" s="16" t="n">
        <f aca="false">IF(Problemas!$B$7="","",Problemas!$B$7)</f>
        <v>2551</v>
      </c>
      <c r="B11" s="16" t="str">
        <f aca="false">IF(Problemas!$D$7="","",Problemas!$D$7)</f>
        <v>Fácil</v>
      </c>
      <c r="C11" s="16" t="str">
        <f aca="false">Instrucoes!$B$7</f>
        <v>Claude</v>
      </c>
      <c r="D11" s="16" t="n">
        <v>1</v>
      </c>
      <c r="E11" s="6" t="s">
        <v>103</v>
      </c>
      <c r="F11" s="6" t="s">
        <v>12</v>
      </c>
      <c r="G11" s="6" t="s">
        <v>104</v>
      </c>
      <c r="H11" s="17" t="n">
        <v>1</v>
      </c>
      <c r="I11" s="6" t="s">
        <v>98</v>
      </c>
      <c r="J11" s="6" t="s">
        <v>98</v>
      </c>
      <c r="K11" s="6" t="s">
        <v>100</v>
      </c>
      <c r="L11" s="6" t="s">
        <v>100</v>
      </c>
      <c r="M11" s="18" t="n">
        <v>8.57</v>
      </c>
      <c r="N11" s="19" t="n">
        <v>5</v>
      </c>
      <c r="O11" s="18" t="n">
        <v>56.36</v>
      </c>
      <c r="P11" s="19" t="n">
        <v>18</v>
      </c>
      <c r="Q11" s="20" t="n">
        <v>0</v>
      </c>
      <c r="R11" s="21" t="s">
        <v>105</v>
      </c>
      <c r="S11" s="22" t="n">
        <v>0</v>
      </c>
      <c r="T11" s="6"/>
    </row>
    <row r="12" customFormat="false" ht="15" hidden="false" customHeight="true" outlineLevel="0" collapsed="false">
      <c r="A12" s="16" t="n">
        <f aca="false">IF(Problemas!$B$8="","",Problemas!$B$8)</f>
        <v>1253</v>
      </c>
      <c r="B12" s="16" t="str">
        <f aca="false">IF(Problemas!$D$8="","",Problemas!$D$8)</f>
        <v>Fácil</v>
      </c>
      <c r="C12" s="16" t="str">
        <f aca="false">Instrucoes!$B$5</f>
        <v>ChatGPT</v>
      </c>
      <c r="D12" s="16" t="n">
        <v>1</v>
      </c>
      <c r="E12" s="6" t="s">
        <v>103</v>
      </c>
      <c r="F12" s="6" t="s">
        <v>5</v>
      </c>
      <c r="G12" s="6" t="s">
        <v>104</v>
      </c>
      <c r="H12" s="17" t="n">
        <v>1</v>
      </c>
      <c r="I12" s="6" t="s">
        <v>98</v>
      </c>
      <c r="J12" s="6" t="s">
        <v>98</v>
      </c>
      <c r="K12" s="6" t="s">
        <v>100</v>
      </c>
      <c r="L12" s="6" t="s">
        <v>100</v>
      </c>
      <c r="M12" s="18" t="n">
        <v>6.67</v>
      </c>
      <c r="N12" s="19" t="n">
        <v>3</v>
      </c>
      <c r="O12" s="18" t="n">
        <v>71.29</v>
      </c>
      <c r="P12" s="19" t="n">
        <v>9</v>
      </c>
      <c r="Q12" s="20" t="n">
        <v>0</v>
      </c>
      <c r="R12" s="21" t="s">
        <v>101</v>
      </c>
      <c r="S12" s="22" t="n">
        <v>0.781</v>
      </c>
      <c r="T12" s="6"/>
    </row>
    <row r="13" customFormat="false" ht="15" hidden="false" customHeight="true" outlineLevel="0" collapsed="false">
      <c r="A13" s="16" t="n">
        <f aca="false">IF(Problemas!$B$8="","",Problemas!$B$8)</f>
        <v>1253</v>
      </c>
      <c r="B13" s="16" t="str">
        <f aca="false">IF(Problemas!$D$8="","",Problemas!$D$8)</f>
        <v>Fácil</v>
      </c>
      <c r="C13" s="16" t="str">
        <f aca="false">Instrucoes!$B$6</f>
        <v>Gemini</v>
      </c>
      <c r="D13" s="16" t="n">
        <v>1</v>
      </c>
      <c r="E13" s="6" t="s">
        <v>103</v>
      </c>
      <c r="F13" s="6" t="s">
        <v>9</v>
      </c>
      <c r="G13" s="6" t="s">
        <v>104</v>
      </c>
      <c r="H13" s="17" t="n">
        <v>1</v>
      </c>
      <c r="I13" s="6" t="s">
        <v>98</v>
      </c>
      <c r="J13" s="6" t="s">
        <v>98</v>
      </c>
      <c r="K13" s="6" t="s">
        <v>100</v>
      </c>
      <c r="L13" s="6" t="s">
        <v>100</v>
      </c>
      <c r="M13" s="18" t="n">
        <v>8.18</v>
      </c>
      <c r="N13" s="19" t="n">
        <v>7</v>
      </c>
      <c r="O13" s="18" t="n">
        <v>66.49</v>
      </c>
      <c r="P13" s="19" t="n">
        <v>23</v>
      </c>
      <c r="Q13" s="20" t="n">
        <v>0.0417</v>
      </c>
      <c r="R13" s="21" t="s">
        <v>105</v>
      </c>
      <c r="S13" s="22" t="n">
        <v>0.132</v>
      </c>
      <c r="T13" s="6"/>
    </row>
    <row r="14" customFormat="false" ht="15" hidden="false" customHeight="true" outlineLevel="0" collapsed="false">
      <c r="A14" s="16" t="n">
        <f aca="false">IF(Problemas!$B$8="","",Problemas!$B$8)</f>
        <v>1253</v>
      </c>
      <c r="B14" s="16" t="str">
        <f aca="false">IF(Problemas!$D$8="","",Problemas!$D$8)</f>
        <v>Fácil</v>
      </c>
      <c r="C14" s="16" t="str">
        <f aca="false">Instrucoes!$B$7</f>
        <v>Claude</v>
      </c>
      <c r="D14" s="16" t="n">
        <v>1</v>
      </c>
      <c r="E14" s="6" t="s">
        <v>103</v>
      </c>
      <c r="F14" s="6" t="s">
        <v>12</v>
      </c>
      <c r="G14" s="6" t="s">
        <v>104</v>
      </c>
      <c r="H14" s="17" t="n">
        <v>1</v>
      </c>
      <c r="I14" s="6" t="s">
        <v>98</v>
      </c>
      <c r="J14" s="6" t="s">
        <v>98</v>
      </c>
      <c r="K14" s="6" t="s">
        <v>100</v>
      </c>
      <c r="L14" s="6" t="s">
        <v>100</v>
      </c>
      <c r="M14" s="18" t="n">
        <v>8.5</v>
      </c>
      <c r="N14" s="19" t="n">
        <v>4</v>
      </c>
      <c r="O14" s="18" t="n">
        <v>57.2</v>
      </c>
      <c r="P14" s="19" t="n">
        <v>17</v>
      </c>
      <c r="Q14" s="20" t="n">
        <v>0</v>
      </c>
      <c r="R14" s="21" t="s">
        <v>105</v>
      </c>
      <c r="S14" s="22" t="n">
        <v>0.093</v>
      </c>
      <c r="T14" s="6"/>
    </row>
    <row r="15" customFormat="false" ht="15" hidden="false" customHeight="true" outlineLevel="0" collapsed="false">
      <c r="A15" s="16" t="n">
        <f aca="false">IF(Problemas!$B$9="","",Problemas!$B$9)</f>
        <v>2437</v>
      </c>
      <c r="B15" s="16" t="str">
        <f aca="false">IF(Problemas!$D$9="","",Problemas!$D$9)</f>
        <v>Fácil</v>
      </c>
      <c r="C15" s="16" t="str">
        <f aca="false">Instrucoes!$B$5</f>
        <v>ChatGPT</v>
      </c>
      <c r="D15" s="16" t="n">
        <v>1</v>
      </c>
      <c r="E15" s="6" t="s">
        <v>103</v>
      </c>
      <c r="F15" s="6" t="s">
        <v>5</v>
      </c>
      <c r="G15" s="6" t="s">
        <v>104</v>
      </c>
      <c r="H15" s="17" t="n">
        <v>1</v>
      </c>
      <c r="I15" s="6" t="s">
        <v>98</v>
      </c>
      <c r="J15" s="6" t="s">
        <v>98</v>
      </c>
      <c r="K15" s="6" t="s">
        <v>100</v>
      </c>
      <c r="L15" s="6" t="s">
        <v>100</v>
      </c>
      <c r="M15" s="18" t="n">
        <v>10</v>
      </c>
      <c r="N15" s="19" t="n">
        <v>1</v>
      </c>
      <c r="O15" s="18" t="n">
        <v>83.28</v>
      </c>
      <c r="P15" s="19" t="n">
        <v>2</v>
      </c>
      <c r="Q15" s="20" t="n">
        <v>0</v>
      </c>
      <c r="R15" s="21" t="s">
        <v>101</v>
      </c>
      <c r="S15" s="22" t="n">
        <v>0</v>
      </c>
      <c r="T15" s="6"/>
    </row>
    <row r="16" customFormat="false" ht="15" hidden="false" customHeight="true" outlineLevel="0" collapsed="false">
      <c r="A16" s="16" t="n">
        <f aca="false">IF(Problemas!$B$9="","",Problemas!$B$9)</f>
        <v>2437</v>
      </c>
      <c r="B16" s="16" t="str">
        <f aca="false">IF(Problemas!$D$9="","",Problemas!$D$9)</f>
        <v>Fácil</v>
      </c>
      <c r="C16" s="16" t="str">
        <f aca="false">Instrucoes!$B$6</f>
        <v>Gemini</v>
      </c>
      <c r="D16" s="16" t="n">
        <v>1</v>
      </c>
      <c r="E16" s="6" t="s">
        <v>103</v>
      </c>
      <c r="F16" s="6" t="s">
        <v>9</v>
      </c>
      <c r="G16" s="6" t="s">
        <v>104</v>
      </c>
      <c r="H16" s="17" t="n">
        <v>1</v>
      </c>
      <c r="I16" s="6" t="s">
        <v>98</v>
      </c>
      <c r="J16" s="6" t="s">
        <v>98</v>
      </c>
      <c r="K16" s="6" t="s">
        <v>100</v>
      </c>
      <c r="L16" s="6" t="s">
        <v>100</v>
      </c>
      <c r="M16" s="18" t="n">
        <v>6</v>
      </c>
      <c r="N16" s="19" t="n">
        <v>3</v>
      </c>
      <c r="O16" s="18" t="n">
        <v>65.78</v>
      </c>
      <c r="P16" s="19" t="n">
        <v>10</v>
      </c>
      <c r="Q16" s="20" t="n">
        <v>0</v>
      </c>
      <c r="R16" s="21" t="s">
        <v>105</v>
      </c>
      <c r="S16" s="22" t="n">
        <v>0</v>
      </c>
      <c r="T16" s="6"/>
    </row>
    <row r="17" customFormat="false" ht="15" hidden="false" customHeight="true" outlineLevel="0" collapsed="false">
      <c r="A17" s="16" t="n">
        <f aca="false">IF(Problemas!$B$9="","",Problemas!$B$9)</f>
        <v>2437</v>
      </c>
      <c r="B17" s="16" t="str">
        <f aca="false">IF(Problemas!$D$9="","",Problemas!$D$9)</f>
        <v>Fácil</v>
      </c>
      <c r="C17" s="16" t="str">
        <f aca="false">Instrucoes!$B$7</f>
        <v>Claude</v>
      </c>
      <c r="D17" s="16" t="n">
        <v>1</v>
      </c>
      <c r="E17" s="6" t="s">
        <v>103</v>
      </c>
      <c r="F17" s="6" t="s">
        <v>12</v>
      </c>
      <c r="G17" s="6" t="s">
        <v>104</v>
      </c>
      <c r="H17" s="17" t="n">
        <v>1</v>
      </c>
      <c r="I17" s="6" t="s">
        <v>98</v>
      </c>
      <c r="J17" s="6" t="s">
        <v>98</v>
      </c>
      <c r="K17" s="6" t="s">
        <v>100</v>
      </c>
      <c r="L17" s="6" t="s">
        <v>100</v>
      </c>
      <c r="M17" s="18" t="n">
        <v>10</v>
      </c>
      <c r="N17" s="19" t="n">
        <v>1</v>
      </c>
      <c r="O17" s="18" t="n">
        <v>83.28</v>
      </c>
      <c r="P17" s="19" t="n">
        <v>2</v>
      </c>
      <c r="Q17" s="20" t="n">
        <v>0</v>
      </c>
      <c r="R17" s="21" t="s">
        <v>101</v>
      </c>
      <c r="S17" s="22" t="n">
        <v>0</v>
      </c>
      <c r="T17" s="6"/>
    </row>
    <row r="18" customFormat="false" ht="15" hidden="false" customHeight="true" outlineLevel="0" collapsed="false">
      <c r="A18" s="16" t="n">
        <f aca="false">IF(Problemas!$B$10="","",Problemas!$B$10)</f>
        <v>2867</v>
      </c>
      <c r="B18" s="16" t="str">
        <f aca="false">IF(Problemas!$D$10="","",Problemas!$D$10)</f>
        <v>Médio</v>
      </c>
      <c r="C18" s="16" t="str">
        <f aca="false">Instrucoes!$B$5</f>
        <v>ChatGPT</v>
      </c>
      <c r="D18" s="16" t="n">
        <v>1</v>
      </c>
      <c r="E18" s="6" t="s">
        <v>103</v>
      </c>
      <c r="F18" s="6" t="s">
        <v>5</v>
      </c>
      <c r="G18" s="6" t="s">
        <v>104</v>
      </c>
      <c r="H18" s="17" t="n">
        <v>1</v>
      </c>
      <c r="I18" s="6" t="s">
        <v>98</v>
      </c>
      <c r="J18" s="6" t="s">
        <v>98</v>
      </c>
      <c r="K18" s="6" t="s">
        <v>100</v>
      </c>
      <c r="L18" s="6" t="s">
        <v>100</v>
      </c>
      <c r="M18" s="18" t="n">
        <v>10</v>
      </c>
      <c r="N18" s="19" t="n">
        <v>4</v>
      </c>
      <c r="O18" s="18" t="n">
        <v>59.95</v>
      </c>
      <c r="P18" s="19" t="n">
        <v>17</v>
      </c>
      <c r="Q18" s="20" t="n">
        <v>0</v>
      </c>
      <c r="R18" s="21" t="s">
        <v>105</v>
      </c>
      <c r="S18" s="22" t="n">
        <v>0</v>
      </c>
      <c r="T18" s="6"/>
    </row>
    <row r="19" customFormat="false" ht="15" hidden="false" customHeight="true" outlineLevel="0" collapsed="false">
      <c r="A19" s="16" t="n">
        <f aca="false">IF(Problemas!$B$10="","",Problemas!$B$10)</f>
        <v>2867</v>
      </c>
      <c r="B19" s="16" t="str">
        <f aca="false">IF(Problemas!$D$10="","",Problemas!$D$10)</f>
        <v>Médio</v>
      </c>
      <c r="C19" s="16" t="str">
        <f aca="false">Instrucoes!$B$6</f>
        <v>Gemini</v>
      </c>
      <c r="D19" s="16" t="n">
        <v>1</v>
      </c>
      <c r="E19" s="6" t="s">
        <v>103</v>
      </c>
      <c r="F19" s="6" t="s">
        <v>9</v>
      </c>
      <c r="G19" s="6" t="s">
        <v>104</v>
      </c>
      <c r="H19" s="17" t="n">
        <v>1</v>
      </c>
      <c r="I19" s="6" t="s">
        <v>98</v>
      </c>
      <c r="J19" s="6" t="s">
        <v>98</v>
      </c>
      <c r="K19" s="6" t="s">
        <v>100</v>
      </c>
      <c r="L19" s="6" t="s">
        <v>100</v>
      </c>
      <c r="M19" s="18" t="n">
        <v>7</v>
      </c>
      <c r="N19" s="19" t="n">
        <v>6</v>
      </c>
      <c r="O19" s="18" t="n">
        <v>55.66</v>
      </c>
      <c r="P19" s="19" t="n">
        <v>21</v>
      </c>
      <c r="Q19" s="20" t="n">
        <v>0</v>
      </c>
      <c r="R19" s="21" t="s">
        <v>105</v>
      </c>
      <c r="S19" s="22" t="n">
        <v>0</v>
      </c>
      <c r="T19" s="6"/>
    </row>
    <row r="20" customFormat="false" ht="15" hidden="false" customHeight="true" outlineLevel="0" collapsed="false">
      <c r="A20" s="16" t="n">
        <f aca="false">IF(Problemas!$B$10="","",Problemas!$B$10)</f>
        <v>2867</v>
      </c>
      <c r="B20" s="16" t="str">
        <f aca="false">IF(Problemas!$D$10="","",Problemas!$D$10)</f>
        <v>Médio</v>
      </c>
      <c r="C20" s="16" t="str">
        <f aca="false">Instrucoes!$B$7</f>
        <v>Claude</v>
      </c>
      <c r="D20" s="16" t="n">
        <v>1</v>
      </c>
      <c r="E20" s="6" t="s">
        <v>103</v>
      </c>
      <c r="F20" s="6" t="s">
        <v>12</v>
      </c>
      <c r="G20" s="6" t="s">
        <v>104</v>
      </c>
      <c r="H20" s="17" t="n">
        <v>1</v>
      </c>
      <c r="I20" s="6" t="s">
        <v>98</v>
      </c>
      <c r="J20" s="6" t="s">
        <v>98</v>
      </c>
      <c r="K20" s="6" t="s">
        <v>100</v>
      </c>
      <c r="L20" s="6" t="s">
        <v>100</v>
      </c>
      <c r="M20" s="18" t="n">
        <v>8.24</v>
      </c>
      <c r="N20" s="19" t="n">
        <v>3</v>
      </c>
      <c r="O20" s="18" t="n">
        <v>61.01</v>
      </c>
      <c r="P20" s="19" t="n">
        <v>14</v>
      </c>
      <c r="Q20" s="20" t="n">
        <v>0</v>
      </c>
      <c r="R20" s="21" t="s">
        <v>105</v>
      </c>
      <c r="S20" s="22" t="n">
        <v>0.015</v>
      </c>
      <c r="T20" s="6" t="s">
        <v>109</v>
      </c>
    </row>
    <row r="21" customFormat="false" ht="15" hidden="false" customHeight="true" outlineLevel="0" collapsed="false">
      <c r="A21" s="16" t="n">
        <f aca="false">IF(Problemas!$B$11="","",Problemas!$B$11)</f>
        <v>2253</v>
      </c>
      <c r="B21" s="16" t="str">
        <f aca="false">IF(Problemas!$D$11="","",Problemas!$D$11)</f>
        <v>Médio</v>
      </c>
      <c r="C21" s="16" t="str">
        <f aca="false">Instrucoes!$B$5</f>
        <v>ChatGPT</v>
      </c>
      <c r="D21" s="16" t="n">
        <v>1</v>
      </c>
      <c r="E21" s="6" t="s">
        <v>103</v>
      </c>
      <c r="F21" s="6" t="s">
        <v>5</v>
      </c>
      <c r="G21" s="6" t="s">
        <v>104</v>
      </c>
      <c r="H21" s="17" t="n">
        <v>1</v>
      </c>
      <c r="I21" s="6" t="s">
        <v>98</v>
      </c>
      <c r="J21" s="6" t="s">
        <v>98</v>
      </c>
      <c r="K21" s="6" t="s">
        <v>100</v>
      </c>
      <c r="L21" s="6" t="s">
        <v>100</v>
      </c>
      <c r="M21" s="18" t="n">
        <v>10</v>
      </c>
      <c r="N21" s="19" t="n">
        <v>11</v>
      </c>
      <c r="O21" s="18" t="n">
        <v>68.71</v>
      </c>
      <c r="P21" s="19" t="n">
        <v>12</v>
      </c>
      <c r="Q21" s="20" t="n">
        <v>0</v>
      </c>
      <c r="R21" s="21" t="s">
        <v>101</v>
      </c>
      <c r="S21" s="22" t="n">
        <v>0.032</v>
      </c>
      <c r="T21" s="6"/>
    </row>
    <row r="22" customFormat="false" ht="15" hidden="false" customHeight="true" outlineLevel="0" collapsed="false">
      <c r="A22" s="16" t="n">
        <f aca="false">IF(Problemas!$B$11="","",Problemas!$B$11)</f>
        <v>2253</v>
      </c>
      <c r="B22" s="16" t="str">
        <f aca="false">IF(Problemas!$D$11="","",Problemas!$D$11)</f>
        <v>Médio</v>
      </c>
      <c r="C22" s="16" t="str">
        <f aca="false">Instrucoes!$B$6</f>
        <v>Gemini</v>
      </c>
      <c r="D22" s="16" t="n">
        <v>1</v>
      </c>
      <c r="E22" s="6" t="s">
        <v>103</v>
      </c>
      <c r="F22" s="6" t="s">
        <v>9</v>
      </c>
      <c r="G22" s="6" t="s">
        <v>104</v>
      </c>
      <c r="H22" s="17" t="n">
        <v>1</v>
      </c>
      <c r="I22" s="6" t="s">
        <v>98</v>
      </c>
      <c r="J22" s="6" t="s">
        <v>98</v>
      </c>
      <c r="K22" s="6" t="s">
        <v>100</v>
      </c>
      <c r="L22" s="6" t="s">
        <v>100</v>
      </c>
      <c r="M22" s="18" t="n">
        <v>8</v>
      </c>
      <c r="N22" s="19" t="n">
        <v>12</v>
      </c>
      <c r="O22" s="18" t="n">
        <v>70.49</v>
      </c>
      <c r="P22" s="19" t="n">
        <v>27</v>
      </c>
      <c r="Q22" s="20" t="n">
        <v>0.069</v>
      </c>
      <c r="R22" s="21" t="s">
        <v>105</v>
      </c>
      <c r="S22" s="22" t="n">
        <v>0</v>
      </c>
      <c r="T22" s="6"/>
    </row>
    <row r="23" customFormat="false" ht="15" hidden="false" customHeight="true" outlineLevel="0" collapsed="false">
      <c r="A23" s="16" t="n">
        <f aca="false">IF(Problemas!$B$11="","",Problemas!$B$11)</f>
        <v>2253</v>
      </c>
      <c r="B23" s="16" t="str">
        <f aca="false">IF(Problemas!$D$11="","",Problemas!$D$11)</f>
        <v>Médio</v>
      </c>
      <c r="C23" s="16" t="str">
        <f aca="false">Instrucoes!$B$7</f>
        <v>Claude</v>
      </c>
      <c r="D23" s="16" t="n">
        <v>1</v>
      </c>
      <c r="E23" s="6" t="s">
        <v>103</v>
      </c>
      <c r="F23" s="6" t="s">
        <v>12</v>
      </c>
      <c r="G23" s="6" t="s">
        <v>104</v>
      </c>
      <c r="H23" s="17" t="n">
        <v>1</v>
      </c>
      <c r="I23" s="6" t="s">
        <v>98</v>
      </c>
      <c r="J23" s="6" t="s">
        <v>98</v>
      </c>
      <c r="K23" s="6" t="s">
        <v>100</v>
      </c>
      <c r="L23" s="6" t="s">
        <v>100</v>
      </c>
      <c r="M23" s="18" t="n">
        <v>10</v>
      </c>
      <c r="N23" s="19" t="n">
        <v>12</v>
      </c>
      <c r="O23" s="18" t="n">
        <v>52.33</v>
      </c>
      <c r="P23" s="19" t="n">
        <v>27</v>
      </c>
      <c r="Q23" s="20" t="n">
        <v>0</v>
      </c>
      <c r="R23" s="21" t="s">
        <v>105</v>
      </c>
      <c r="S23" s="22" t="n">
        <v>0.001</v>
      </c>
      <c r="T23" s="6"/>
    </row>
    <row r="24" customFormat="false" ht="15" hidden="false" customHeight="true" outlineLevel="0" collapsed="false">
      <c r="A24" s="16" t="n">
        <f aca="false">IF(Problemas!$B$12="","",Problemas!$B$12)</f>
        <v>1032</v>
      </c>
      <c r="B24" s="16" t="str">
        <f aca="false">IF(Problemas!$D$12="","",Problemas!$D$12)</f>
        <v>Médio</v>
      </c>
      <c r="C24" s="16" t="str">
        <f aca="false">Instrucoes!$B$5</f>
        <v>ChatGPT</v>
      </c>
      <c r="D24" s="16" t="n">
        <v>1</v>
      </c>
      <c r="E24" s="6" t="s">
        <v>103</v>
      </c>
      <c r="F24" s="6" t="s">
        <v>5</v>
      </c>
      <c r="G24" s="6" t="s">
        <v>97</v>
      </c>
      <c r="H24" s="17" t="n">
        <v>2</v>
      </c>
      <c r="I24" s="6" t="s">
        <v>98</v>
      </c>
      <c r="J24" s="6" t="s">
        <v>99</v>
      </c>
      <c r="K24" s="6" t="s">
        <v>98</v>
      </c>
      <c r="L24" s="6" t="s">
        <v>100</v>
      </c>
      <c r="M24" s="18" t="n">
        <v>9.52</v>
      </c>
      <c r="N24" s="19" t="n">
        <v>21</v>
      </c>
      <c r="O24" s="18" t="n">
        <v>37.73</v>
      </c>
      <c r="P24" s="19" t="n">
        <v>63</v>
      </c>
      <c r="Q24" s="20" t="n">
        <v>0</v>
      </c>
      <c r="R24" s="21" t="s">
        <v>105</v>
      </c>
      <c r="S24" s="22" t="n">
        <v>0.002</v>
      </c>
      <c r="T24" s="6" t="s">
        <v>110</v>
      </c>
    </row>
    <row r="25" customFormat="false" ht="15" hidden="false" customHeight="true" outlineLevel="0" collapsed="false">
      <c r="A25" s="16" t="n">
        <f aca="false">IF(Problemas!$B$12="","",Problemas!$B$12)</f>
        <v>1032</v>
      </c>
      <c r="B25" s="16" t="str">
        <f aca="false">IF(Problemas!$D$12="","",Problemas!$D$12)</f>
        <v>Médio</v>
      </c>
      <c r="C25" s="16" t="str">
        <f aca="false">Instrucoes!$B$6</f>
        <v>Gemini</v>
      </c>
      <c r="D25" s="16" t="n">
        <v>1</v>
      </c>
      <c r="E25" s="6" t="s">
        <v>103</v>
      </c>
      <c r="F25" s="6" t="s">
        <v>9</v>
      </c>
      <c r="G25" s="6" t="s">
        <v>104</v>
      </c>
      <c r="H25" s="17" t="n">
        <v>1</v>
      </c>
      <c r="I25" s="6" t="s">
        <v>98</v>
      </c>
      <c r="J25" s="6" t="s">
        <v>98</v>
      </c>
      <c r="K25" s="6" t="s">
        <v>100</v>
      </c>
      <c r="L25" s="6" t="s">
        <v>100</v>
      </c>
      <c r="M25" s="18" t="n">
        <v>8.28</v>
      </c>
      <c r="N25" s="19" t="n">
        <v>9</v>
      </c>
      <c r="O25" s="18" t="n">
        <v>52.25</v>
      </c>
      <c r="P25" s="19" t="n">
        <v>29</v>
      </c>
      <c r="Q25" s="20" t="n">
        <v>0</v>
      </c>
      <c r="R25" s="21" t="s">
        <v>105</v>
      </c>
      <c r="S25" s="22" t="n">
        <v>0</v>
      </c>
      <c r="T25" s="6"/>
    </row>
    <row r="26" customFormat="false" ht="15" hidden="false" customHeight="true" outlineLevel="0" collapsed="false">
      <c r="A26" s="16" t="n">
        <f aca="false">IF(Problemas!$B$12="","",Problemas!$B$12)</f>
        <v>1032</v>
      </c>
      <c r="B26" s="16" t="str">
        <f aca="false">IF(Problemas!$D$12="","",Problemas!$D$12)</f>
        <v>Médio</v>
      </c>
      <c r="C26" s="16" t="str">
        <f aca="false">Instrucoes!$B$7</f>
        <v>Claude</v>
      </c>
      <c r="D26" s="16" t="n">
        <v>1</v>
      </c>
      <c r="E26" s="6" t="s">
        <v>103</v>
      </c>
      <c r="F26" s="6" t="s">
        <v>12</v>
      </c>
      <c r="G26" s="6" t="s">
        <v>104</v>
      </c>
      <c r="H26" s="17" t="n">
        <v>1</v>
      </c>
      <c r="I26" s="6" t="s">
        <v>98</v>
      </c>
      <c r="J26" s="6" t="s">
        <v>98</v>
      </c>
      <c r="K26" s="6" t="s">
        <v>100</v>
      </c>
      <c r="L26" s="6" t="s">
        <v>100</v>
      </c>
      <c r="M26" s="18" t="n">
        <v>9.79</v>
      </c>
      <c r="N26" s="19" t="n">
        <v>17</v>
      </c>
      <c r="O26" s="18" t="n">
        <v>51.52</v>
      </c>
      <c r="P26" s="19" t="n">
        <v>48</v>
      </c>
      <c r="Q26" s="20" t="n">
        <v>0.0204</v>
      </c>
      <c r="R26" s="21" t="s">
        <v>105</v>
      </c>
      <c r="S26" s="22" t="n">
        <v>0.012</v>
      </c>
      <c r="T26" s="6" t="s">
        <v>111</v>
      </c>
    </row>
    <row r="27" customFormat="false" ht="15" hidden="false" customHeight="true" outlineLevel="0" collapsed="false">
      <c r="A27" s="16" t="n">
        <f aca="false">IF(Problemas!$B$13="","",Problemas!$B$13)</f>
        <v>1033</v>
      </c>
      <c r="B27" s="16" t="str">
        <f aca="false">IF(Problemas!$D$13="","",Problemas!$D$13)</f>
        <v>Médio</v>
      </c>
      <c r="C27" s="16" t="str">
        <f aca="false">Instrucoes!$B$5</f>
        <v>ChatGPT</v>
      </c>
      <c r="D27" s="16" t="n">
        <v>1</v>
      </c>
      <c r="E27" s="6" t="s">
        <v>103</v>
      </c>
      <c r="F27" s="6" t="s">
        <v>5</v>
      </c>
      <c r="G27" s="6" t="s">
        <v>104</v>
      </c>
      <c r="H27" s="17" t="n">
        <v>1</v>
      </c>
      <c r="I27" s="6" t="s">
        <v>98</v>
      </c>
      <c r="J27" s="6" t="s">
        <v>98</v>
      </c>
      <c r="K27" s="6" t="s">
        <v>100</v>
      </c>
      <c r="L27" s="6" t="s">
        <v>100</v>
      </c>
      <c r="M27" s="18" t="n">
        <v>10</v>
      </c>
      <c r="N27" s="19" t="n">
        <v>9</v>
      </c>
      <c r="O27" s="18" t="n">
        <v>67.89</v>
      </c>
      <c r="P27" s="19" t="n">
        <v>41</v>
      </c>
      <c r="Q27" s="20" t="n">
        <v>0.1277</v>
      </c>
      <c r="R27" s="21" t="s">
        <v>105</v>
      </c>
      <c r="S27" s="22" t="n">
        <v>0.04</v>
      </c>
      <c r="T27" s="6"/>
    </row>
    <row r="28" customFormat="false" ht="15" hidden="false" customHeight="true" outlineLevel="0" collapsed="false">
      <c r="A28" s="16" t="n">
        <f aca="false">IF(Problemas!$B$13="","",Problemas!$B$13)</f>
        <v>1033</v>
      </c>
      <c r="B28" s="16" t="str">
        <f aca="false">IF(Problemas!$D$13="","",Problemas!$D$13)</f>
        <v>Médio</v>
      </c>
      <c r="C28" s="16" t="str">
        <f aca="false">Instrucoes!$B$6</f>
        <v>Gemini</v>
      </c>
      <c r="D28" s="16" t="n">
        <v>1</v>
      </c>
      <c r="E28" s="6" t="s">
        <v>103</v>
      </c>
      <c r="F28" s="6" t="s">
        <v>9</v>
      </c>
      <c r="G28" s="6" t="s">
        <v>104</v>
      </c>
      <c r="H28" s="17" t="n">
        <v>1</v>
      </c>
      <c r="I28" s="6" t="s">
        <v>98</v>
      </c>
      <c r="J28" s="6" t="s">
        <v>98</v>
      </c>
      <c r="K28" s="6" t="s">
        <v>100</v>
      </c>
      <c r="L28" s="6" t="s">
        <v>100</v>
      </c>
      <c r="M28" s="18" t="n">
        <v>7.43</v>
      </c>
      <c r="N28" s="19" t="n">
        <v>10</v>
      </c>
      <c r="O28" s="18" t="n">
        <v>59.59</v>
      </c>
      <c r="P28" s="19" t="n">
        <v>54</v>
      </c>
      <c r="Q28" s="20" t="n">
        <v>0.0847</v>
      </c>
      <c r="R28" s="21" t="s">
        <v>105</v>
      </c>
      <c r="S28" s="22" t="n">
        <v>0.099</v>
      </c>
      <c r="T28" s="6"/>
    </row>
    <row r="29" customFormat="false" ht="15" hidden="false" customHeight="true" outlineLevel="0" collapsed="false">
      <c r="A29" s="16" t="n">
        <f aca="false">IF(Problemas!$B$13="","",Problemas!$B$13)</f>
        <v>1033</v>
      </c>
      <c r="B29" s="16" t="str">
        <f aca="false">IF(Problemas!$D$13="","",Problemas!$D$13)</f>
        <v>Médio</v>
      </c>
      <c r="C29" s="16" t="str">
        <f aca="false">Instrucoes!$B$7</f>
        <v>Claude</v>
      </c>
      <c r="D29" s="16" t="n">
        <v>1</v>
      </c>
      <c r="E29" s="6" t="s">
        <v>103</v>
      </c>
      <c r="F29" s="6" t="s">
        <v>12</v>
      </c>
      <c r="G29" s="6" t="s">
        <v>104</v>
      </c>
      <c r="H29" s="17" t="n">
        <v>1</v>
      </c>
      <c r="I29" s="6" t="s">
        <v>98</v>
      </c>
      <c r="J29" s="6" t="s">
        <v>98</v>
      </c>
      <c r="K29" s="6" t="s">
        <v>100</v>
      </c>
      <c r="L29" s="6" t="s">
        <v>100</v>
      </c>
      <c r="M29" s="18" t="n">
        <v>9.26</v>
      </c>
      <c r="N29" s="19" t="n">
        <v>6</v>
      </c>
      <c r="O29" s="18" t="n">
        <v>49.14</v>
      </c>
      <c r="P29" s="19" t="n">
        <v>26</v>
      </c>
      <c r="Q29" s="20" t="n">
        <v>0</v>
      </c>
      <c r="R29" s="21" t="s">
        <v>105</v>
      </c>
      <c r="S29" s="22" t="n">
        <v>0.005</v>
      </c>
      <c r="T29" s="6" t="s">
        <v>112</v>
      </c>
    </row>
    <row r="30" customFormat="false" ht="15" hidden="false" customHeight="true" outlineLevel="0" collapsed="false">
      <c r="A30" s="16" t="n">
        <f aca="false">IF(Problemas!$B$14="","",Problemas!$B$14)</f>
        <v>1243</v>
      </c>
      <c r="B30" s="16" t="str">
        <f aca="false">IF(Problemas!$D$14="","",Problemas!$D$14)</f>
        <v>Médio</v>
      </c>
      <c r="C30" s="16" t="str">
        <f aca="false">Instrucoes!$B$5</f>
        <v>ChatGPT</v>
      </c>
      <c r="D30" s="16" t="n">
        <v>1</v>
      </c>
      <c r="E30" s="6" t="s">
        <v>103</v>
      </c>
      <c r="F30" s="6" t="s">
        <v>5</v>
      </c>
      <c r="G30" s="6" t="s">
        <v>104</v>
      </c>
      <c r="H30" s="17" t="n">
        <v>1</v>
      </c>
      <c r="I30" s="6" t="s">
        <v>98</v>
      </c>
      <c r="J30" s="6" t="s">
        <v>98</v>
      </c>
      <c r="K30" s="6" t="s">
        <v>100</v>
      </c>
      <c r="L30" s="6" t="s">
        <v>100</v>
      </c>
      <c r="M30" s="18" t="n">
        <v>10</v>
      </c>
      <c r="N30" s="19" t="n">
        <v>11</v>
      </c>
      <c r="O30" s="18" t="n">
        <v>57.39</v>
      </c>
      <c r="P30" s="19" t="n">
        <v>17</v>
      </c>
      <c r="Q30" s="20" t="n">
        <v>0</v>
      </c>
      <c r="R30" s="21" t="s">
        <v>101</v>
      </c>
      <c r="S30" s="22" t="n">
        <v>0.09</v>
      </c>
      <c r="T30" s="6"/>
    </row>
    <row r="31" customFormat="false" ht="15" hidden="false" customHeight="true" outlineLevel="0" collapsed="false">
      <c r="A31" s="16" t="n">
        <f aca="false">IF(Problemas!$B$14="","",Problemas!$B$14)</f>
        <v>1243</v>
      </c>
      <c r="B31" s="16" t="str">
        <f aca="false">IF(Problemas!$D$14="","",Problemas!$D$14)</f>
        <v>Médio</v>
      </c>
      <c r="C31" s="16" t="str">
        <f aca="false">Instrucoes!$B$6</f>
        <v>Gemini</v>
      </c>
      <c r="D31" s="16" t="n">
        <v>1</v>
      </c>
      <c r="E31" s="6" t="s">
        <v>103</v>
      </c>
      <c r="F31" s="6" t="s">
        <v>9</v>
      </c>
      <c r="G31" s="6" t="s">
        <v>104</v>
      </c>
      <c r="H31" s="17" t="n">
        <v>1</v>
      </c>
      <c r="I31" s="6" t="s">
        <v>98</v>
      </c>
      <c r="J31" s="6" t="s">
        <v>98</v>
      </c>
      <c r="K31" s="6" t="s">
        <v>100</v>
      </c>
      <c r="L31" s="6" t="s">
        <v>100</v>
      </c>
      <c r="M31" s="18" t="n">
        <v>9.62</v>
      </c>
      <c r="N31" s="19" t="n">
        <v>10</v>
      </c>
      <c r="O31" s="18" t="n">
        <v>66.83</v>
      </c>
      <c r="P31" s="19" t="n">
        <v>29</v>
      </c>
      <c r="Q31" s="20" t="n">
        <v>0.0645</v>
      </c>
      <c r="R31" s="21" t="s">
        <v>105</v>
      </c>
      <c r="S31" s="22" t="n">
        <v>0.029</v>
      </c>
      <c r="T31" s="6"/>
    </row>
    <row r="32" customFormat="false" ht="15" hidden="false" customHeight="true" outlineLevel="0" collapsed="false">
      <c r="A32" s="16" t="n">
        <f aca="false">IF(Problemas!$B$14="","",Problemas!$B$14)</f>
        <v>1243</v>
      </c>
      <c r="B32" s="16" t="str">
        <f aca="false">IF(Problemas!$D$14="","",Problemas!$D$14)</f>
        <v>Médio</v>
      </c>
      <c r="C32" s="16" t="str">
        <f aca="false">Instrucoes!$B$7</f>
        <v>Claude</v>
      </c>
      <c r="D32" s="16" t="n">
        <v>1</v>
      </c>
      <c r="E32" s="6" t="s">
        <v>103</v>
      </c>
      <c r="F32" s="6" t="s">
        <v>12</v>
      </c>
      <c r="G32" s="6" t="s">
        <v>104</v>
      </c>
      <c r="H32" s="17" t="n">
        <v>1</v>
      </c>
      <c r="I32" s="6" t="s">
        <v>98</v>
      </c>
      <c r="J32" s="6" t="s">
        <v>98</v>
      </c>
      <c r="K32" s="6" t="s">
        <v>100</v>
      </c>
      <c r="L32" s="6" t="s">
        <v>100</v>
      </c>
      <c r="M32" s="18" t="n">
        <v>9.26</v>
      </c>
      <c r="N32" s="19" t="n">
        <v>11</v>
      </c>
      <c r="O32" s="18" t="n">
        <v>51.73</v>
      </c>
      <c r="P32" s="19" t="n">
        <v>29</v>
      </c>
      <c r="Q32" s="20" t="n">
        <v>0</v>
      </c>
      <c r="R32" s="21" t="s">
        <v>105</v>
      </c>
      <c r="S32" s="22" t="n">
        <v>0.082</v>
      </c>
      <c r="T32" s="6" t="s">
        <v>113</v>
      </c>
    </row>
    <row r="33" customFormat="false" ht="15" hidden="false" customHeight="true" outlineLevel="0" collapsed="false">
      <c r="A33" s="16" t="n">
        <f aca="false">IF(Problemas!$B$15="","",Problemas!$B$15)</f>
        <v>1084</v>
      </c>
      <c r="B33" s="16" t="str">
        <f aca="false">IF(Problemas!$D$15="","",Problemas!$D$15)</f>
        <v>Difícil</v>
      </c>
      <c r="C33" s="16" t="str">
        <f aca="false">Instrucoes!$B$5</f>
        <v>ChatGPT</v>
      </c>
      <c r="D33" s="16" t="n">
        <v>1</v>
      </c>
      <c r="E33" s="6" t="s">
        <v>103</v>
      </c>
      <c r="F33" s="6" t="s">
        <v>5</v>
      </c>
      <c r="G33" s="6" t="s">
        <v>104</v>
      </c>
      <c r="H33" s="17" t="n">
        <v>1</v>
      </c>
      <c r="I33" s="6" t="s">
        <v>98</v>
      </c>
      <c r="J33" s="6" t="s">
        <v>98</v>
      </c>
      <c r="K33" s="6" t="s">
        <v>100</v>
      </c>
      <c r="L33" s="6" t="s">
        <v>100</v>
      </c>
      <c r="M33" s="18" t="n">
        <v>9.57</v>
      </c>
      <c r="N33" s="19" t="n">
        <v>11</v>
      </c>
      <c r="O33" s="18" t="n">
        <v>53.14</v>
      </c>
      <c r="P33" s="19" t="n">
        <v>23</v>
      </c>
      <c r="Q33" s="20" t="n">
        <v>0</v>
      </c>
      <c r="R33" s="21" t="s">
        <v>105</v>
      </c>
      <c r="S33" s="22" t="n">
        <v>0.095</v>
      </c>
      <c r="T33" s="6"/>
    </row>
    <row r="34" customFormat="false" ht="15" hidden="false" customHeight="true" outlineLevel="0" collapsed="false">
      <c r="A34" s="16" t="n">
        <f aca="false">IF(Problemas!$B$15="","",Problemas!$B$15)</f>
        <v>1084</v>
      </c>
      <c r="B34" s="16" t="str">
        <f aca="false">IF(Problemas!$D$15="","",Problemas!$D$15)</f>
        <v>Difícil</v>
      </c>
      <c r="C34" s="16" t="str">
        <f aca="false">Instrucoes!$B$6</f>
        <v>Gemini</v>
      </c>
      <c r="D34" s="16" t="n">
        <v>1</v>
      </c>
      <c r="E34" s="6" t="s">
        <v>103</v>
      </c>
      <c r="F34" s="6" t="s">
        <v>9</v>
      </c>
      <c r="G34" s="6" t="s">
        <v>104</v>
      </c>
      <c r="H34" s="17" t="n">
        <v>1</v>
      </c>
      <c r="I34" s="6" t="s">
        <v>98</v>
      </c>
      <c r="J34" s="6" t="s">
        <v>98</v>
      </c>
      <c r="K34" s="6" t="s">
        <v>100</v>
      </c>
      <c r="L34" s="6" t="s">
        <v>100</v>
      </c>
      <c r="M34" s="18" t="n">
        <v>6.3</v>
      </c>
      <c r="N34" s="19" t="n">
        <v>10</v>
      </c>
      <c r="O34" s="18" t="n">
        <v>50.87</v>
      </c>
      <c r="P34" s="19" t="n">
        <v>27</v>
      </c>
      <c r="Q34" s="20" t="n">
        <v>0</v>
      </c>
      <c r="R34" s="21" t="s">
        <v>105</v>
      </c>
      <c r="S34" s="22" t="n">
        <v>0.097</v>
      </c>
      <c r="T34" s="6"/>
    </row>
    <row r="35" customFormat="false" ht="15" hidden="false" customHeight="true" outlineLevel="0" collapsed="false">
      <c r="A35" s="16" t="n">
        <f aca="false">IF(Problemas!$B$15="","",Problemas!$B$15)</f>
        <v>1084</v>
      </c>
      <c r="B35" s="16" t="str">
        <f aca="false">IF(Problemas!$D$15="","",Problemas!$D$15)</f>
        <v>Difícil</v>
      </c>
      <c r="C35" s="16" t="str">
        <f aca="false">Instrucoes!$B$7</f>
        <v>Claude</v>
      </c>
      <c r="D35" s="16" t="n">
        <v>1</v>
      </c>
      <c r="E35" s="6" t="s">
        <v>103</v>
      </c>
      <c r="F35" s="6" t="s">
        <v>12</v>
      </c>
      <c r="G35" s="6" t="s">
        <v>104</v>
      </c>
      <c r="H35" s="17" t="n">
        <v>1</v>
      </c>
      <c r="I35" s="6" t="s">
        <v>98</v>
      </c>
      <c r="J35" s="6" t="s">
        <v>98</v>
      </c>
      <c r="K35" s="6" t="s">
        <v>100</v>
      </c>
      <c r="L35" s="6" t="s">
        <v>100</v>
      </c>
      <c r="M35" s="18" t="n">
        <v>9.2</v>
      </c>
      <c r="N35" s="19" t="n">
        <v>8</v>
      </c>
      <c r="O35" s="18" t="n">
        <v>52.37</v>
      </c>
      <c r="P35" s="19" t="n">
        <v>22</v>
      </c>
      <c r="Q35" s="20" t="n">
        <v>0</v>
      </c>
      <c r="R35" s="21" t="s">
        <v>105</v>
      </c>
      <c r="S35" s="22" t="n">
        <v>0.131</v>
      </c>
      <c r="T35" s="6" t="s">
        <v>114</v>
      </c>
    </row>
    <row r="36" customFormat="false" ht="15" hidden="false" customHeight="true" outlineLevel="0" collapsed="false">
      <c r="A36" s="16" t="n">
        <f aca="false">IF(Problemas!$B$16="","",Problemas!$B$16)</f>
        <v>1034</v>
      </c>
      <c r="B36" s="16" t="str">
        <f aca="false">IF(Problemas!$D$16="","",Problemas!$D$16)</f>
        <v>Difícil</v>
      </c>
      <c r="C36" s="16" t="str">
        <f aca="false">Instrucoes!$B$5</f>
        <v>ChatGPT</v>
      </c>
      <c r="D36" s="16" t="n">
        <v>1</v>
      </c>
      <c r="E36" s="6" t="s">
        <v>103</v>
      </c>
      <c r="F36" s="6" t="s">
        <v>5</v>
      </c>
      <c r="G36" s="6" t="s">
        <v>97</v>
      </c>
      <c r="H36" s="17"/>
      <c r="I36" s="6" t="s">
        <v>106</v>
      </c>
      <c r="J36" s="6" t="s">
        <v>115</v>
      </c>
      <c r="K36" s="6" t="s">
        <v>115</v>
      </c>
      <c r="L36" s="6" t="s">
        <v>107</v>
      </c>
      <c r="M36" s="18" t="n">
        <v>9.63</v>
      </c>
      <c r="N36" s="19" t="n">
        <v>7</v>
      </c>
      <c r="O36" s="18" t="n">
        <v>67.3</v>
      </c>
      <c r="P36" s="19" t="n">
        <v>27</v>
      </c>
      <c r="Q36" s="20" t="n">
        <v>0.069</v>
      </c>
      <c r="R36" s="21" t="s">
        <v>105</v>
      </c>
      <c r="S36" s="22"/>
      <c r="T36" s="6" t="s">
        <v>116</v>
      </c>
    </row>
    <row r="37" customFormat="false" ht="15" hidden="false" customHeight="true" outlineLevel="0" collapsed="false">
      <c r="A37" s="16" t="n">
        <f aca="false">IF(Problemas!$B$16="","",Problemas!$B$16)</f>
        <v>1034</v>
      </c>
      <c r="B37" s="16" t="str">
        <f aca="false">IF(Problemas!$D$16="","",Problemas!$D$16)</f>
        <v>Difícil</v>
      </c>
      <c r="C37" s="16" t="str">
        <f aca="false">Instrucoes!$B$6</f>
        <v>Gemini</v>
      </c>
      <c r="D37" s="16" t="n">
        <v>1</v>
      </c>
      <c r="E37" s="6" t="s">
        <v>103</v>
      </c>
      <c r="F37" s="6" t="s">
        <v>9</v>
      </c>
      <c r="G37" s="6" t="s">
        <v>97</v>
      </c>
      <c r="H37" s="17"/>
      <c r="I37" s="6" t="s">
        <v>106</v>
      </c>
      <c r="J37" s="6" t="s">
        <v>115</v>
      </c>
      <c r="K37" s="6" t="s">
        <v>115</v>
      </c>
      <c r="L37" s="6" t="s">
        <v>115</v>
      </c>
      <c r="M37" s="18" t="n">
        <v>5.83</v>
      </c>
      <c r="N37" s="19" t="n">
        <v>8</v>
      </c>
      <c r="O37" s="18" t="n">
        <v>52.59</v>
      </c>
      <c r="P37" s="19" t="n">
        <v>24</v>
      </c>
      <c r="Q37" s="20" t="n">
        <v>0</v>
      </c>
      <c r="R37" s="21" t="s">
        <v>105</v>
      </c>
      <c r="S37" s="22"/>
      <c r="T37" s="6" t="s">
        <v>117</v>
      </c>
    </row>
    <row r="38" customFormat="false" ht="15" hidden="false" customHeight="true" outlineLevel="0" collapsed="false">
      <c r="A38" s="16" t="n">
        <f aca="false">IF(Problemas!$B$16="","",Problemas!$B$16)</f>
        <v>1034</v>
      </c>
      <c r="B38" s="16" t="str">
        <f aca="false">IF(Problemas!$D$16="","",Problemas!$D$16)</f>
        <v>Difícil</v>
      </c>
      <c r="C38" s="16" t="str">
        <f aca="false">Instrucoes!$B$7</f>
        <v>Claude</v>
      </c>
      <c r="D38" s="16" t="n">
        <v>1</v>
      </c>
      <c r="E38" s="6" t="s">
        <v>103</v>
      </c>
      <c r="F38" s="6" t="s">
        <v>12</v>
      </c>
      <c r="G38" s="6" t="s">
        <v>97</v>
      </c>
      <c r="H38" s="17"/>
      <c r="I38" s="6" t="s">
        <v>106</v>
      </c>
      <c r="J38" s="6" t="s">
        <v>115</v>
      </c>
      <c r="K38" s="6" t="s">
        <v>118</v>
      </c>
      <c r="L38" s="6" t="s">
        <v>115</v>
      </c>
      <c r="M38" s="18" t="n">
        <v>7.59</v>
      </c>
      <c r="N38" s="19" t="n">
        <v>10</v>
      </c>
      <c r="O38" s="18" t="n">
        <v>50.44</v>
      </c>
      <c r="P38" s="19" t="n">
        <v>26</v>
      </c>
      <c r="Q38" s="20" t="n">
        <v>0</v>
      </c>
      <c r="R38" s="21" t="s">
        <v>105</v>
      </c>
      <c r="S38" s="22"/>
      <c r="T38" s="6" t="s">
        <v>119</v>
      </c>
    </row>
    <row r="39" customFormat="false" ht="15" hidden="false" customHeight="true" outlineLevel="0" collapsed="false">
      <c r="A39" s="16" t="n">
        <f aca="false">IF(Problemas!$B$17="","",Problemas!$B$17)</f>
        <v>1027</v>
      </c>
      <c r="B39" s="16" t="str">
        <f aca="false">IF(Problemas!$D$17="","",Problemas!$D$17)</f>
        <v>Difícil</v>
      </c>
      <c r="C39" s="16" t="str">
        <f aca="false">Instrucoes!$B$5</f>
        <v>ChatGPT</v>
      </c>
      <c r="D39" s="16" t="n">
        <v>1</v>
      </c>
      <c r="E39" s="6" t="s">
        <v>103</v>
      </c>
      <c r="F39" s="6" t="s">
        <v>5</v>
      </c>
      <c r="G39" s="6" t="s">
        <v>97</v>
      </c>
      <c r="H39" s="17"/>
      <c r="I39" s="6" t="s">
        <v>106</v>
      </c>
      <c r="J39" s="6" t="s">
        <v>99</v>
      </c>
      <c r="K39" s="6" t="s">
        <v>107</v>
      </c>
      <c r="L39" s="6" t="s">
        <v>99</v>
      </c>
      <c r="M39" s="18" t="n">
        <v>10</v>
      </c>
      <c r="N39" s="19" t="n">
        <v>10</v>
      </c>
      <c r="O39" s="18" t="n">
        <v>47.7</v>
      </c>
      <c r="P39" s="19" t="n">
        <v>41</v>
      </c>
      <c r="Q39" s="20" t="n">
        <v>0</v>
      </c>
      <c r="R39" s="21" t="s">
        <v>105</v>
      </c>
      <c r="S39" s="22"/>
      <c r="T39" s="6" t="s">
        <v>120</v>
      </c>
    </row>
    <row r="40" customFormat="false" ht="15" hidden="false" customHeight="true" outlineLevel="0" collapsed="false">
      <c r="A40" s="16" t="n">
        <f aca="false">IF(Problemas!$B$17="","",Problemas!$B$17)</f>
        <v>1027</v>
      </c>
      <c r="B40" s="16" t="str">
        <f aca="false">IF(Problemas!$D$17="","",Problemas!$D$17)</f>
        <v>Difícil</v>
      </c>
      <c r="C40" s="16" t="str">
        <f aca="false">Instrucoes!$B$6</f>
        <v>Gemini</v>
      </c>
      <c r="D40" s="16" t="n">
        <v>1</v>
      </c>
      <c r="E40" s="6" t="s">
        <v>103</v>
      </c>
      <c r="F40" s="6" t="s">
        <v>9</v>
      </c>
      <c r="G40" s="6" t="s">
        <v>97</v>
      </c>
      <c r="H40" s="17" t="n">
        <v>2</v>
      </c>
      <c r="I40" s="6" t="s">
        <v>98</v>
      </c>
      <c r="J40" s="6" t="s">
        <v>99</v>
      </c>
      <c r="K40" s="6" t="s">
        <v>98</v>
      </c>
      <c r="L40" s="6" t="s">
        <v>100</v>
      </c>
      <c r="M40" s="18" t="n">
        <v>7.44</v>
      </c>
      <c r="N40" s="19" t="n">
        <v>29</v>
      </c>
      <c r="O40" s="18" t="n">
        <v>48.48</v>
      </c>
      <c r="P40" s="19" t="n">
        <v>88</v>
      </c>
      <c r="Q40" s="20" t="n">
        <v>0.0638</v>
      </c>
      <c r="R40" s="21" t="s">
        <v>105</v>
      </c>
      <c r="S40" s="22" t="n">
        <v>0.195</v>
      </c>
      <c r="T40" s="6" t="s">
        <v>121</v>
      </c>
    </row>
    <row r="41" customFormat="false" ht="15" hidden="false" customHeight="true" outlineLevel="0" collapsed="false">
      <c r="A41" s="16" t="n">
        <f aca="false">IF(Problemas!$B$17="","",Problemas!$B$17)</f>
        <v>1027</v>
      </c>
      <c r="B41" s="16" t="str">
        <f aca="false">IF(Problemas!$D$17="","",Problemas!$D$17)</f>
        <v>Difícil</v>
      </c>
      <c r="C41" s="16" t="str">
        <f aca="false">Instrucoes!$B$7</f>
        <v>Claude</v>
      </c>
      <c r="D41" s="16" t="n">
        <v>1</v>
      </c>
      <c r="E41" s="6" t="s">
        <v>103</v>
      </c>
      <c r="F41" s="6" t="s">
        <v>12</v>
      </c>
      <c r="G41" s="6" t="s">
        <v>104</v>
      </c>
      <c r="H41" s="17" t="n">
        <v>1</v>
      </c>
      <c r="I41" s="6" t="s">
        <v>98</v>
      </c>
      <c r="J41" s="6" t="s">
        <v>98</v>
      </c>
      <c r="K41" s="6" t="s">
        <v>100</v>
      </c>
      <c r="L41" s="6" t="s">
        <v>100</v>
      </c>
      <c r="M41" s="18" t="n">
        <v>7.54</v>
      </c>
      <c r="N41" s="19" t="n">
        <v>17</v>
      </c>
      <c r="O41" s="18" t="n">
        <v>53.87</v>
      </c>
      <c r="P41" s="19" t="n">
        <v>54</v>
      </c>
      <c r="Q41" s="20" t="n">
        <v>0.0357</v>
      </c>
      <c r="R41" s="21" t="s">
        <v>105</v>
      </c>
      <c r="S41" s="22" t="n">
        <v>1.812</v>
      </c>
      <c r="T41" s="6"/>
    </row>
    <row r="42" customFormat="false" ht="15" hidden="false" customHeight="true" outlineLevel="0" collapsed="false">
      <c r="A42" s="16" t="n">
        <f aca="false">IF(Problemas!$B$18="","",Problemas!$B$18)</f>
        <v>1092</v>
      </c>
      <c r="B42" s="16" t="str">
        <f aca="false">IF(Problemas!$D$18="","",Problemas!$D$18)</f>
        <v>Difícil</v>
      </c>
      <c r="C42" s="16" t="str">
        <f aca="false">Instrucoes!$B$5</f>
        <v>ChatGPT</v>
      </c>
      <c r="D42" s="16" t="n">
        <v>1</v>
      </c>
      <c r="E42" s="6" t="s">
        <v>103</v>
      </c>
      <c r="F42" s="6" t="s">
        <v>5</v>
      </c>
      <c r="G42" s="6" t="s">
        <v>97</v>
      </c>
      <c r="H42" s="17"/>
      <c r="I42" s="6" t="s">
        <v>106</v>
      </c>
      <c r="J42" s="6" t="s">
        <v>99</v>
      </c>
      <c r="K42" s="6" t="s">
        <v>115</v>
      </c>
      <c r="L42" s="6" t="s">
        <v>115</v>
      </c>
      <c r="M42" s="18" t="n">
        <v>8.22</v>
      </c>
      <c r="N42" s="19" t="n">
        <v>28</v>
      </c>
      <c r="O42" s="18" t="n">
        <v>59.27</v>
      </c>
      <c r="P42" s="19" t="n">
        <v>74</v>
      </c>
      <c r="Q42" s="20" t="n">
        <v>0.1685</v>
      </c>
      <c r="R42" s="21" t="s">
        <v>105</v>
      </c>
      <c r="S42" s="22"/>
      <c r="T42" s="6" t="s">
        <v>122</v>
      </c>
    </row>
    <row r="43" customFormat="false" ht="15" hidden="false" customHeight="true" outlineLevel="0" collapsed="false">
      <c r="A43" s="16" t="n">
        <f aca="false">IF(Problemas!$B$18="","",Problemas!$B$18)</f>
        <v>1092</v>
      </c>
      <c r="B43" s="16" t="str">
        <f aca="false">IF(Problemas!$D$18="","",Problemas!$D$18)</f>
        <v>Difícil</v>
      </c>
      <c r="C43" s="16" t="str">
        <f aca="false">Instrucoes!$B$6</f>
        <v>Gemini</v>
      </c>
      <c r="D43" s="16" t="n">
        <v>1</v>
      </c>
      <c r="E43" s="6" t="s">
        <v>103</v>
      </c>
      <c r="F43" s="6" t="s">
        <v>9</v>
      </c>
      <c r="G43" s="6" t="s">
        <v>97</v>
      </c>
      <c r="H43" s="17"/>
      <c r="I43" s="6" t="s">
        <v>106</v>
      </c>
      <c r="J43" s="6" t="s">
        <v>115</v>
      </c>
      <c r="K43" s="6" t="s">
        <v>99</v>
      </c>
      <c r="L43" s="6" t="s">
        <v>99</v>
      </c>
      <c r="M43" s="18" t="n">
        <v>5.51</v>
      </c>
      <c r="N43" s="19" t="n">
        <v>25</v>
      </c>
      <c r="O43" s="18" t="n">
        <v>66.53</v>
      </c>
      <c r="P43" s="19" t="n">
        <v>50</v>
      </c>
      <c r="Q43" s="20" t="n">
        <v>0.2188</v>
      </c>
      <c r="R43" s="21" t="s">
        <v>105</v>
      </c>
      <c r="S43" s="22"/>
      <c r="T43" s="6" t="s">
        <v>123</v>
      </c>
    </row>
    <row r="44" customFormat="false" ht="15" hidden="false" customHeight="true" outlineLevel="0" collapsed="false">
      <c r="A44" s="16" t="n">
        <f aca="false">IF(Problemas!$B$18="","",Problemas!$B$18)</f>
        <v>1092</v>
      </c>
      <c r="B44" s="16" t="str">
        <f aca="false">IF(Problemas!$D$18="","",Problemas!$D$18)</f>
        <v>Difícil</v>
      </c>
      <c r="C44" s="16" t="str">
        <f aca="false">Instrucoes!$B$7</f>
        <v>Claude</v>
      </c>
      <c r="D44" s="16" t="n">
        <v>1</v>
      </c>
      <c r="E44" s="6" t="s">
        <v>103</v>
      </c>
      <c r="F44" s="6" t="s">
        <v>12</v>
      </c>
      <c r="G44" s="6" t="s">
        <v>97</v>
      </c>
      <c r="H44" s="17"/>
      <c r="I44" s="6" t="s">
        <v>106</v>
      </c>
      <c r="J44" s="6" t="s">
        <v>118</v>
      </c>
      <c r="K44" s="6" t="s">
        <v>115</v>
      </c>
      <c r="L44" s="6" t="s">
        <v>115</v>
      </c>
      <c r="M44" s="18" t="n">
        <v>8.36</v>
      </c>
      <c r="N44" s="19" t="n">
        <v>18</v>
      </c>
      <c r="O44" s="18" t="n">
        <v>42.11</v>
      </c>
      <c r="P44" s="19" t="n">
        <v>72</v>
      </c>
      <c r="Q44" s="20" t="n">
        <v>0.0137</v>
      </c>
      <c r="R44" s="21" t="s">
        <v>105</v>
      </c>
      <c r="S44" s="22"/>
      <c r="T44" s="6" t="s">
        <v>124</v>
      </c>
    </row>
    <row r="45" customFormat="false" ht="15" hidden="false" customHeight="true" outlineLevel="0" collapsed="false">
      <c r="A45" s="16" t="n">
        <f aca="false">IF(Problemas!$B$19="","",Problemas!$B$19)</f>
        <v>1141</v>
      </c>
      <c r="B45" s="16" t="str">
        <f aca="false">IF(Problemas!$D$19="","",Problemas!$D$19)</f>
        <v>Difícil</v>
      </c>
      <c r="C45" s="16" t="str">
        <f aca="false">Instrucoes!$B$5</f>
        <v>ChatGPT</v>
      </c>
      <c r="D45" s="16" t="n">
        <v>1</v>
      </c>
      <c r="E45" s="6" t="s">
        <v>103</v>
      </c>
      <c r="F45" s="6" t="s">
        <v>5</v>
      </c>
      <c r="G45" s="6" t="s">
        <v>97</v>
      </c>
      <c r="H45" s="17"/>
      <c r="I45" s="6" t="s">
        <v>106</v>
      </c>
      <c r="J45" s="6" t="s">
        <v>115</v>
      </c>
      <c r="K45" s="6" t="s">
        <v>115</v>
      </c>
      <c r="L45" s="6" t="s">
        <v>118</v>
      </c>
      <c r="M45" s="18" t="n">
        <v>9.45</v>
      </c>
      <c r="N45" s="19" t="n">
        <v>35</v>
      </c>
      <c r="O45" s="18" t="n">
        <v>40.69</v>
      </c>
      <c r="P45" s="19" t="n">
        <v>131</v>
      </c>
      <c r="Q45" s="20" t="n">
        <v>0.0507</v>
      </c>
      <c r="R45" s="21" t="s">
        <v>105</v>
      </c>
      <c r="S45" s="22"/>
      <c r="T45" s="6" t="s">
        <v>125</v>
      </c>
    </row>
    <row r="46" customFormat="false" ht="15" hidden="false" customHeight="true" outlineLevel="0" collapsed="false">
      <c r="A46" s="16" t="n">
        <f aca="false">IF(Problemas!$B$19="","",Problemas!$B$19)</f>
        <v>1141</v>
      </c>
      <c r="B46" s="16" t="str">
        <f aca="false">IF(Problemas!$D$19="","",Problemas!$D$19)</f>
        <v>Difícil</v>
      </c>
      <c r="C46" s="16" t="str">
        <f aca="false">Instrucoes!$B$6</f>
        <v>Gemini</v>
      </c>
      <c r="D46" s="16" t="n">
        <v>1</v>
      </c>
      <c r="E46" s="6" t="s">
        <v>103</v>
      </c>
      <c r="F46" s="6" t="s">
        <v>9</v>
      </c>
      <c r="G46" s="6" t="s">
        <v>97</v>
      </c>
      <c r="H46" s="17"/>
      <c r="I46" s="6" t="s">
        <v>106</v>
      </c>
      <c r="J46" s="6" t="s">
        <v>115</v>
      </c>
      <c r="K46" s="6" t="s">
        <v>115</v>
      </c>
      <c r="L46" s="6" t="s">
        <v>126</v>
      </c>
      <c r="M46" s="18" t="n">
        <v>5.58</v>
      </c>
      <c r="N46" s="19" t="n">
        <v>20</v>
      </c>
      <c r="O46" s="18" t="n">
        <v>40.19</v>
      </c>
      <c r="P46" s="19" t="n">
        <v>52</v>
      </c>
      <c r="Q46" s="20" t="n">
        <v>0</v>
      </c>
      <c r="R46" s="21" t="s">
        <v>105</v>
      </c>
      <c r="S46" s="22"/>
      <c r="T46" s="6" t="s">
        <v>127</v>
      </c>
    </row>
    <row r="47" customFormat="false" ht="15" hidden="false" customHeight="true" outlineLevel="0" collapsed="false">
      <c r="A47" s="16" t="n">
        <f aca="false">IF(Problemas!$B$19="","",Problemas!$B$19)</f>
        <v>1141</v>
      </c>
      <c r="B47" s="16" t="str">
        <f aca="false">IF(Problemas!$D$19="","",Problemas!$D$19)</f>
        <v>Difícil</v>
      </c>
      <c r="C47" s="16" t="str">
        <f aca="false">Instrucoes!$B$7</f>
        <v>Claude</v>
      </c>
      <c r="D47" s="16" t="n">
        <v>1</v>
      </c>
      <c r="E47" s="6" t="s">
        <v>103</v>
      </c>
      <c r="F47" s="6" t="s">
        <v>12</v>
      </c>
      <c r="G47" s="6" t="s">
        <v>97</v>
      </c>
      <c r="H47" s="17"/>
      <c r="I47" s="6" t="s">
        <v>106</v>
      </c>
      <c r="J47" s="6" t="s">
        <v>128</v>
      </c>
      <c r="K47" s="6" t="s">
        <v>115</v>
      </c>
      <c r="L47" s="6" t="s">
        <v>115</v>
      </c>
      <c r="M47" s="18" t="n">
        <v>9.47</v>
      </c>
      <c r="N47" s="19" t="n">
        <v>22</v>
      </c>
      <c r="O47" s="18" t="n">
        <v>38.93</v>
      </c>
      <c r="P47" s="19" t="n">
        <v>135</v>
      </c>
      <c r="Q47" s="20" t="n">
        <v>0.0288</v>
      </c>
      <c r="R47" s="21" t="s">
        <v>105</v>
      </c>
      <c r="S47" s="22"/>
      <c r="T47" s="6" t="s">
        <v>129</v>
      </c>
    </row>
    <row r="48" customFormat="false" ht="15" hidden="false" customHeight="true" outlineLevel="0" collapsed="false">
      <c r="A48" s="23" t="n">
        <f aca="false">IF(Problemas!$B$5="","",Problemas!$B$5)</f>
        <v>1131</v>
      </c>
      <c r="B48" s="23" t="str">
        <f aca="false">IF(Problemas!$D$5="","",Problemas!$D$5)</f>
        <v>Fácil</v>
      </c>
      <c r="C48" s="23" t="str">
        <f aca="false">Instrucoes!$B$5</f>
        <v>ChatGPT</v>
      </c>
      <c r="D48" s="23" t="n">
        <v>2</v>
      </c>
      <c r="E48" s="24" t="s">
        <v>130</v>
      </c>
      <c r="F48" s="24" t="s">
        <v>5</v>
      </c>
      <c r="G48" s="24" t="s">
        <v>104</v>
      </c>
      <c r="H48" s="25" t="n">
        <v>1</v>
      </c>
      <c r="I48" s="24" t="s">
        <v>98</v>
      </c>
      <c r="J48" s="24" t="s">
        <v>98</v>
      </c>
      <c r="K48" s="24" t="s">
        <v>100</v>
      </c>
      <c r="L48" s="24" t="s">
        <v>100</v>
      </c>
      <c r="M48" s="26" t="n">
        <v>10</v>
      </c>
      <c r="N48" s="25" t="n">
        <v>7</v>
      </c>
      <c r="O48" s="26" t="n">
        <v>55.45</v>
      </c>
      <c r="P48" s="25" t="n">
        <v>23</v>
      </c>
      <c r="Q48" s="27" t="n">
        <v>0</v>
      </c>
      <c r="R48" s="24" t="s">
        <v>101</v>
      </c>
      <c r="S48" s="28" t="n">
        <v>0</v>
      </c>
      <c r="T48" s="24" t="s">
        <v>131</v>
      </c>
    </row>
    <row r="49" customFormat="false" ht="15" hidden="false" customHeight="true" outlineLevel="0" collapsed="false">
      <c r="A49" s="23" t="n">
        <f aca="false">IF(Problemas!$B$5="","",Problemas!$B$5)</f>
        <v>1131</v>
      </c>
      <c r="B49" s="23" t="str">
        <f aca="false">IF(Problemas!$D$5="","",Problemas!$D$5)</f>
        <v>Fácil</v>
      </c>
      <c r="C49" s="23" t="str">
        <f aca="false">Instrucoes!$B$6</f>
        <v>Gemini</v>
      </c>
      <c r="D49" s="23" t="n">
        <v>2</v>
      </c>
      <c r="E49" s="24" t="s">
        <v>130</v>
      </c>
      <c r="F49" s="24" t="s">
        <v>9</v>
      </c>
      <c r="G49" s="24" t="s">
        <v>104</v>
      </c>
      <c r="H49" s="25" t="n">
        <v>1</v>
      </c>
      <c r="I49" s="24" t="s">
        <v>98</v>
      </c>
      <c r="J49" s="24" t="s">
        <v>98</v>
      </c>
      <c r="K49" s="24" t="s">
        <v>100</v>
      </c>
      <c r="L49" s="24" t="s">
        <v>100</v>
      </c>
      <c r="M49" s="26" t="n">
        <v>10</v>
      </c>
      <c r="N49" s="25" t="n">
        <v>10</v>
      </c>
      <c r="O49" s="26" t="n">
        <v>47.79</v>
      </c>
      <c r="P49" s="25" t="n">
        <v>39</v>
      </c>
      <c r="Q49" s="27" t="n">
        <v>0</v>
      </c>
      <c r="R49" s="24" t="s">
        <v>105</v>
      </c>
      <c r="S49" s="28" t="n">
        <v>0</v>
      </c>
      <c r="T49" s="24" t="s">
        <v>132</v>
      </c>
    </row>
    <row r="50" customFormat="false" ht="15" hidden="false" customHeight="true" outlineLevel="0" collapsed="false">
      <c r="A50" s="23" t="n">
        <f aca="false">IF(Problemas!$B$5="","",Problemas!$B$5)</f>
        <v>1131</v>
      </c>
      <c r="B50" s="23" t="str">
        <f aca="false">IF(Problemas!$D$5="","",Problemas!$D$5)</f>
        <v>Fácil</v>
      </c>
      <c r="C50" s="23" t="str">
        <f aca="false">Instrucoes!$B$7</f>
        <v>Claude</v>
      </c>
      <c r="D50" s="23" t="n">
        <v>2</v>
      </c>
      <c r="E50" s="24" t="s">
        <v>130</v>
      </c>
      <c r="F50" s="24" t="s">
        <v>12</v>
      </c>
      <c r="G50" s="24" t="s">
        <v>104</v>
      </c>
      <c r="H50" s="25" t="n">
        <v>1</v>
      </c>
      <c r="I50" s="24" t="s">
        <v>98</v>
      </c>
      <c r="J50" s="24" t="s">
        <v>98</v>
      </c>
      <c r="K50" s="24" t="s">
        <v>100</v>
      </c>
      <c r="L50" s="24" t="s">
        <v>100</v>
      </c>
      <c r="M50" s="26" t="n">
        <v>9.12</v>
      </c>
      <c r="N50" s="25" t="n">
        <v>7</v>
      </c>
      <c r="O50" s="26" t="n">
        <v>50.33</v>
      </c>
      <c r="P50" s="25" t="n">
        <v>33</v>
      </c>
      <c r="Q50" s="27" t="n">
        <v>0</v>
      </c>
      <c r="R50" s="24" t="s">
        <v>105</v>
      </c>
      <c r="S50" s="28" t="n">
        <v>0</v>
      </c>
      <c r="T50" s="24" t="s">
        <v>133</v>
      </c>
    </row>
    <row r="51" customFormat="false" ht="15" hidden="false" customHeight="true" outlineLevel="0" collapsed="false">
      <c r="A51" s="23" t="n">
        <f aca="false">IF(Problemas!$B$6="","",Problemas!$B$6)</f>
        <v>1961</v>
      </c>
      <c r="B51" s="23" t="str">
        <f aca="false">IF(Problemas!$D$6="","",Problemas!$D$6)</f>
        <v>Fácil</v>
      </c>
      <c r="C51" s="23" t="str">
        <f aca="false">Instrucoes!$B$5</f>
        <v>ChatGPT</v>
      </c>
      <c r="D51" s="23" t="n">
        <v>2</v>
      </c>
      <c r="E51" s="24" t="s">
        <v>130</v>
      </c>
      <c r="F51" s="24" t="s">
        <v>5</v>
      </c>
      <c r="G51" s="24" t="s">
        <v>104</v>
      </c>
      <c r="H51" s="25" t="n">
        <v>1</v>
      </c>
      <c r="I51" s="24" t="s">
        <v>98</v>
      </c>
      <c r="J51" s="24" t="s">
        <v>98</v>
      </c>
      <c r="K51" s="24" t="s">
        <v>100</v>
      </c>
      <c r="L51" s="24" t="s">
        <v>100</v>
      </c>
      <c r="M51" s="26" t="n">
        <v>10</v>
      </c>
      <c r="N51" s="25" t="n">
        <v>4</v>
      </c>
      <c r="O51" s="26" t="n">
        <v>68.55</v>
      </c>
      <c r="P51" s="25" t="n">
        <v>8</v>
      </c>
      <c r="Q51" s="27" t="n">
        <v>0</v>
      </c>
      <c r="R51" s="24" t="s">
        <v>101</v>
      </c>
      <c r="S51" s="28" t="n">
        <v>0</v>
      </c>
      <c r="T51" s="24" t="s">
        <v>134</v>
      </c>
    </row>
    <row r="52" customFormat="false" ht="15" hidden="false" customHeight="true" outlineLevel="0" collapsed="false">
      <c r="A52" s="23" t="n">
        <f aca="false">IF(Problemas!$B$6="","",Problemas!$B$6)</f>
        <v>1961</v>
      </c>
      <c r="B52" s="23" t="str">
        <f aca="false">IF(Problemas!$D$6="","",Problemas!$D$6)</f>
        <v>Fácil</v>
      </c>
      <c r="C52" s="23" t="str">
        <f aca="false">Instrucoes!$B$6</f>
        <v>Gemini</v>
      </c>
      <c r="D52" s="23" t="n">
        <v>2</v>
      </c>
      <c r="E52" s="24" t="s">
        <v>130</v>
      </c>
      <c r="F52" s="24" t="s">
        <v>9</v>
      </c>
      <c r="G52" s="24" t="s">
        <v>104</v>
      </c>
      <c r="H52" s="25" t="n">
        <v>1</v>
      </c>
      <c r="I52" s="24" t="s">
        <v>98</v>
      </c>
      <c r="J52" s="24" t="s">
        <v>98</v>
      </c>
      <c r="K52" s="24" t="s">
        <v>100</v>
      </c>
      <c r="L52" s="24" t="s">
        <v>100</v>
      </c>
      <c r="M52" s="26" t="n">
        <v>7.33</v>
      </c>
      <c r="N52" s="25" t="n">
        <v>6</v>
      </c>
      <c r="O52" s="26" t="n">
        <v>59.6</v>
      </c>
      <c r="P52" s="25" t="n">
        <v>15</v>
      </c>
      <c r="Q52" s="27" t="n">
        <v>0</v>
      </c>
      <c r="R52" s="24" t="s">
        <v>105</v>
      </c>
      <c r="S52" s="28" t="n">
        <v>0</v>
      </c>
      <c r="T52" s="24" t="s">
        <v>135</v>
      </c>
    </row>
    <row r="53" customFormat="false" ht="15" hidden="false" customHeight="true" outlineLevel="0" collapsed="false">
      <c r="A53" s="23" t="n">
        <f aca="false">IF(Problemas!$B$6="","",Problemas!$B$6)</f>
        <v>1961</v>
      </c>
      <c r="B53" s="23" t="str">
        <f aca="false">IF(Problemas!$D$6="","",Problemas!$D$6)</f>
        <v>Fácil</v>
      </c>
      <c r="C53" s="23" t="str">
        <f aca="false">Instrucoes!$B$7</f>
        <v>Claude</v>
      </c>
      <c r="D53" s="23" t="n">
        <v>2</v>
      </c>
      <c r="E53" s="24" t="s">
        <v>130</v>
      </c>
      <c r="F53" s="24" t="s">
        <v>12</v>
      </c>
      <c r="G53" s="24" t="s">
        <v>104</v>
      </c>
      <c r="H53" s="25" t="n">
        <v>1</v>
      </c>
      <c r="I53" s="24" t="s">
        <v>98</v>
      </c>
      <c r="J53" s="24" t="s">
        <v>98</v>
      </c>
      <c r="K53" s="24" t="s">
        <v>100</v>
      </c>
      <c r="L53" s="24" t="s">
        <v>100</v>
      </c>
      <c r="M53" s="26" t="n">
        <v>8.12</v>
      </c>
      <c r="N53" s="25" t="n">
        <v>5</v>
      </c>
      <c r="O53" s="26" t="n">
        <v>60.62</v>
      </c>
      <c r="P53" s="25" t="n">
        <v>14</v>
      </c>
      <c r="Q53" s="27" t="n">
        <v>0</v>
      </c>
      <c r="R53" s="24" t="s">
        <v>105</v>
      </c>
      <c r="S53" s="28" t="n">
        <v>0</v>
      </c>
      <c r="T53" s="24" t="s">
        <v>136</v>
      </c>
    </row>
    <row r="54" customFormat="false" ht="15" hidden="false" customHeight="true" outlineLevel="0" collapsed="false">
      <c r="A54" s="23" t="n">
        <f aca="false">IF(Problemas!$B$7="","",Problemas!$B$7)</f>
        <v>2551</v>
      </c>
      <c r="B54" s="23" t="str">
        <f aca="false">IF(Problemas!$D$7="","",Problemas!$D$7)</f>
        <v>Fácil</v>
      </c>
      <c r="C54" s="23" t="str">
        <f aca="false">Instrucoes!$B$5</f>
        <v>ChatGPT</v>
      </c>
      <c r="D54" s="23" t="n">
        <v>2</v>
      </c>
      <c r="E54" s="24" t="s">
        <v>130</v>
      </c>
      <c r="F54" s="24" t="s">
        <v>5</v>
      </c>
      <c r="G54" s="24" t="s">
        <v>97</v>
      </c>
      <c r="H54" s="25"/>
      <c r="I54" s="24" t="s">
        <v>106</v>
      </c>
      <c r="J54" s="24" t="s">
        <v>107</v>
      </c>
      <c r="K54" s="24" t="s">
        <v>107</v>
      </c>
      <c r="L54" s="24" t="s">
        <v>107</v>
      </c>
      <c r="M54" s="26" t="n">
        <v>10</v>
      </c>
      <c r="N54" s="25" t="n">
        <v>5</v>
      </c>
      <c r="O54" s="26" t="n">
        <v>55.74</v>
      </c>
      <c r="P54" s="25" t="n">
        <v>22</v>
      </c>
      <c r="Q54" s="27" t="n">
        <v>0</v>
      </c>
      <c r="R54" s="24" t="s">
        <v>101</v>
      </c>
      <c r="S54" s="28"/>
      <c r="T54" s="24" t="s">
        <v>137</v>
      </c>
    </row>
    <row r="55" customFormat="false" ht="15" hidden="false" customHeight="true" outlineLevel="0" collapsed="false">
      <c r="A55" s="23" t="n">
        <f aca="false">IF(Problemas!$B$7="","",Problemas!$B$7)</f>
        <v>2551</v>
      </c>
      <c r="B55" s="23" t="str">
        <f aca="false">IF(Problemas!$D$7="","",Problemas!$D$7)</f>
        <v>Fácil</v>
      </c>
      <c r="C55" s="23" t="str">
        <f aca="false">Instrucoes!$B$6</f>
        <v>Gemini</v>
      </c>
      <c r="D55" s="23" t="n">
        <v>2</v>
      </c>
      <c r="E55" s="24" t="s">
        <v>130</v>
      </c>
      <c r="F55" s="24" t="s">
        <v>9</v>
      </c>
      <c r="G55" s="24" t="s">
        <v>104</v>
      </c>
      <c r="H55" s="25" t="n">
        <v>1</v>
      </c>
      <c r="I55" s="24" t="s">
        <v>98</v>
      </c>
      <c r="J55" s="24" t="s">
        <v>98</v>
      </c>
      <c r="K55" s="24" t="s">
        <v>100</v>
      </c>
      <c r="L55" s="24" t="s">
        <v>100</v>
      </c>
      <c r="M55" s="26" t="n">
        <v>7.62</v>
      </c>
      <c r="N55" s="25" t="n">
        <v>6</v>
      </c>
      <c r="O55" s="26" t="n">
        <v>55.82</v>
      </c>
      <c r="P55" s="25" t="n">
        <v>21</v>
      </c>
      <c r="Q55" s="27" t="n">
        <v>0</v>
      </c>
      <c r="R55" s="24" t="s">
        <v>105</v>
      </c>
      <c r="S55" s="28" t="n">
        <v>0</v>
      </c>
      <c r="T55" s="24" t="s">
        <v>138</v>
      </c>
    </row>
    <row r="56" customFormat="false" ht="15" hidden="false" customHeight="true" outlineLevel="0" collapsed="false">
      <c r="A56" s="23" t="n">
        <f aca="false">IF(Problemas!$B$7="","",Problemas!$B$7)</f>
        <v>2551</v>
      </c>
      <c r="B56" s="23" t="str">
        <f aca="false">IF(Problemas!$D$7="","",Problemas!$D$7)</f>
        <v>Fácil</v>
      </c>
      <c r="C56" s="23" t="str">
        <f aca="false">Instrucoes!$B$7</f>
        <v>Claude</v>
      </c>
      <c r="D56" s="23" t="n">
        <v>2</v>
      </c>
      <c r="E56" s="24" t="s">
        <v>130</v>
      </c>
      <c r="F56" s="24" t="s">
        <v>12</v>
      </c>
      <c r="G56" s="24" t="s">
        <v>104</v>
      </c>
      <c r="H56" s="25" t="n">
        <v>1</v>
      </c>
      <c r="I56" s="24" t="s">
        <v>98</v>
      </c>
      <c r="J56" s="24" t="s">
        <v>98</v>
      </c>
      <c r="K56" s="24" t="s">
        <v>100</v>
      </c>
      <c r="L56" s="24" t="s">
        <v>100</v>
      </c>
      <c r="M56" s="26" t="n">
        <v>7.27</v>
      </c>
      <c r="N56" s="25" t="n">
        <v>5</v>
      </c>
      <c r="O56" s="26" t="n">
        <v>55.92</v>
      </c>
      <c r="P56" s="25" t="n">
        <v>19</v>
      </c>
      <c r="Q56" s="27" t="n">
        <v>0</v>
      </c>
      <c r="R56" s="24" t="s">
        <v>105</v>
      </c>
      <c r="S56" s="28" t="n">
        <v>0</v>
      </c>
      <c r="T56" s="24" t="s">
        <v>139</v>
      </c>
    </row>
    <row r="57" customFormat="false" ht="15" hidden="false" customHeight="true" outlineLevel="0" collapsed="false">
      <c r="A57" s="23" t="n">
        <f aca="false">IF(Problemas!$B$8="","",Problemas!$B$8)</f>
        <v>1253</v>
      </c>
      <c r="B57" s="23" t="str">
        <f aca="false">IF(Problemas!$D$8="","",Problemas!$D$8)</f>
        <v>Fácil</v>
      </c>
      <c r="C57" s="23" t="str">
        <f aca="false">Instrucoes!$B$5</f>
        <v>ChatGPT</v>
      </c>
      <c r="D57" s="23" t="n">
        <v>2</v>
      </c>
      <c r="E57" s="24" t="s">
        <v>130</v>
      </c>
      <c r="F57" s="24" t="s">
        <v>5</v>
      </c>
      <c r="G57" s="24" t="s">
        <v>104</v>
      </c>
      <c r="H57" s="25" t="n">
        <v>1</v>
      </c>
      <c r="I57" s="24" t="s">
        <v>98</v>
      </c>
      <c r="J57" s="24" t="s">
        <v>98</v>
      </c>
      <c r="K57" s="24" t="s">
        <v>100</v>
      </c>
      <c r="L57" s="24" t="s">
        <v>100</v>
      </c>
      <c r="M57" s="26" t="n">
        <v>10</v>
      </c>
      <c r="N57" s="25" t="n">
        <v>3</v>
      </c>
      <c r="O57" s="26" t="n">
        <v>71.29</v>
      </c>
      <c r="P57" s="25" t="n">
        <v>9</v>
      </c>
      <c r="Q57" s="27" t="n">
        <v>0</v>
      </c>
      <c r="R57" s="24" t="s">
        <v>101</v>
      </c>
      <c r="S57" s="28" t="n">
        <v>0.546</v>
      </c>
      <c r="T57" s="24" t="s">
        <v>140</v>
      </c>
    </row>
    <row r="58" customFormat="false" ht="15" hidden="false" customHeight="true" outlineLevel="0" collapsed="false">
      <c r="A58" s="23" t="n">
        <f aca="false">IF(Problemas!$B$8="","",Problemas!$B$8)</f>
        <v>1253</v>
      </c>
      <c r="B58" s="23" t="str">
        <f aca="false">IF(Problemas!$D$8="","",Problemas!$D$8)</f>
        <v>Fácil</v>
      </c>
      <c r="C58" s="23" t="str">
        <f aca="false">Instrucoes!$B$6</f>
        <v>Gemini</v>
      </c>
      <c r="D58" s="23" t="n">
        <v>2</v>
      </c>
      <c r="E58" s="24" t="s">
        <v>130</v>
      </c>
      <c r="F58" s="24" t="s">
        <v>9</v>
      </c>
      <c r="G58" s="24" t="s">
        <v>104</v>
      </c>
      <c r="H58" s="25" t="n">
        <v>1</v>
      </c>
      <c r="I58" s="24" t="s">
        <v>98</v>
      </c>
      <c r="J58" s="24" t="s">
        <v>98</v>
      </c>
      <c r="K58" s="24" t="s">
        <v>100</v>
      </c>
      <c r="L58" s="24" t="s">
        <v>100</v>
      </c>
      <c r="M58" s="26" t="n">
        <v>7.6</v>
      </c>
      <c r="N58" s="25" t="n">
        <v>8</v>
      </c>
      <c r="O58" s="26" t="n">
        <v>64.22</v>
      </c>
      <c r="P58" s="25" t="n">
        <v>26</v>
      </c>
      <c r="Q58" s="27" t="n">
        <v>0.037</v>
      </c>
      <c r="R58" s="24" t="s">
        <v>105</v>
      </c>
      <c r="S58" s="28" t="n">
        <v>0.13</v>
      </c>
      <c r="T58" s="24" t="s">
        <v>141</v>
      </c>
    </row>
    <row r="59" customFormat="false" ht="15" hidden="false" customHeight="true" outlineLevel="0" collapsed="false">
      <c r="A59" s="23" t="n">
        <f aca="false">IF(Problemas!$B$8="","",Problemas!$B$8)</f>
        <v>1253</v>
      </c>
      <c r="B59" s="23" t="str">
        <f aca="false">IF(Problemas!$D$8="","",Problemas!$D$8)</f>
        <v>Fácil</v>
      </c>
      <c r="C59" s="23" t="str">
        <f aca="false">Instrucoes!$B$7</f>
        <v>Claude</v>
      </c>
      <c r="D59" s="23" t="n">
        <v>2</v>
      </c>
      <c r="E59" s="24" t="s">
        <v>130</v>
      </c>
      <c r="F59" s="24" t="s">
        <v>12</v>
      </c>
      <c r="G59" s="24" t="s">
        <v>104</v>
      </c>
      <c r="H59" s="25" t="n">
        <v>1</v>
      </c>
      <c r="I59" s="24" t="s">
        <v>98</v>
      </c>
      <c r="J59" s="24" t="s">
        <v>98</v>
      </c>
      <c r="K59" s="24" t="s">
        <v>100</v>
      </c>
      <c r="L59" s="24" t="s">
        <v>100</v>
      </c>
      <c r="M59" s="26" t="n">
        <v>8.5</v>
      </c>
      <c r="N59" s="25" t="n">
        <v>4</v>
      </c>
      <c r="O59" s="26" t="n">
        <v>57.2</v>
      </c>
      <c r="P59" s="25" t="n">
        <v>17</v>
      </c>
      <c r="Q59" s="27" t="n">
        <v>0</v>
      </c>
      <c r="R59" s="24" t="s">
        <v>105</v>
      </c>
      <c r="S59" s="28" t="n">
        <v>0.076</v>
      </c>
      <c r="T59" s="24" t="s">
        <v>142</v>
      </c>
    </row>
    <row r="60" customFormat="false" ht="15" hidden="false" customHeight="true" outlineLevel="0" collapsed="false">
      <c r="A60" s="23" t="n">
        <f aca="false">IF(Problemas!$B$9="","",Problemas!$B$9)</f>
        <v>2437</v>
      </c>
      <c r="B60" s="23" t="str">
        <f aca="false">IF(Problemas!$D$9="","",Problemas!$D$9)</f>
        <v>Fácil</v>
      </c>
      <c r="C60" s="23" t="str">
        <f aca="false">Instrucoes!$B$5</f>
        <v>ChatGPT</v>
      </c>
      <c r="D60" s="23" t="n">
        <v>2</v>
      </c>
      <c r="E60" s="24" t="s">
        <v>130</v>
      </c>
      <c r="F60" s="24" t="s">
        <v>5</v>
      </c>
      <c r="G60" s="24" t="s">
        <v>104</v>
      </c>
      <c r="H60" s="25" t="n">
        <v>1</v>
      </c>
      <c r="I60" s="24" t="s">
        <v>98</v>
      </c>
      <c r="J60" s="24" t="s">
        <v>98</v>
      </c>
      <c r="K60" s="24" t="s">
        <v>100</v>
      </c>
      <c r="L60" s="24" t="s">
        <v>100</v>
      </c>
      <c r="M60" s="26" t="n">
        <v>10</v>
      </c>
      <c r="N60" s="25" t="n">
        <v>1</v>
      </c>
      <c r="O60" s="26" t="n">
        <v>83.28</v>
      </c>
      <c r="P60" s="25" t="n">
        <v>2</v>
      </c>
      <c r="Q60" s="27" t="n">
        <v>0</v>
      </c>
      <c r="R60" s="24" t="s">
        <v>101</v>
      </c>
      <c r="S60" s="28" t="n">
        <v>0</v>
      </c>
      <c r="T60" s="24" t="s">
        <v>143</v>
      </c>
    </row>
    <row r="61" customFormat="false" ht="15" hidden="false" customHeight="true" outlineLevel="0" collapsed="false">
      <c r="A61" s="23" t="n">
        <f aca="false">IF(Problemas!$B$9="","",Problemas!$B$9)</f>
        <v>2437</v>
      </c>
      <c r="B61" s="23" t="str">
        <f aca="false">IF(Problemas!$D$9="","",Problemas!$D$9)</f>
        <v>Fácil</v>
      </c>
      <c r="C61" s="23" t="str">
        <f aca="false">Instrucoes!$B$6</f>
        <v>Gemini</v>
      </c>
      <c r="D61" s="23" t="n">
        <v>2</v>
      </c>
      <c r="E61" s="24" t="s">
        <v>130</v>
      </c>
      <c r="F61" s="24" t="s">
        <v>9</v>
      </c>
      <c r="G61" s="24" t="s">
        <v>104</v>
      </c>
      <c r="H61" s="25" t="n">
        <v>1</v>
      </c>
      <c r="I61" s="24" t="s">
        <v>98</v>
      </c>
      <c r="J61" s="24" t="s">
        <v>98</v>
      </c>
      <c r="K61" s="24" t="s">
        <v>100</v>
      </c>
      <c r="L61" s="24" t="s">
        <v>100</v>
      </c>
      <c r="M61" s="26" t="n">
        <v>5.56</v>
      </c>
      <c r="N61" s="25" t="n">
        <v>3</v>
      </c>
      <c r="O61" s="26" t="n">
        <v>66.78</v>
      </c>
      <c r="P61" s="25" t="n">
        <v>9</v>
      </c>
      <c r="Q61" s="27" t="n">
        <v>0</v>
      </c>
      <c r="R61" s="24" t="s">
        <v>105</v>
      </c>
      <c r="S61" s="28" t="n">
        <v>0.025</v>
      </c>
      <c r="T61" s="24" t="s">
        <v>144</v>
      </c>
    </row>
    <row r="62" customFormat="false" ht="15" hidden="false" customHeight="true" outlineLevel="0" collapsed="false">
      <c r="A62" s="23" t="n">
        <f aca="false">IF(Problemas!$B$9="","",Problemas!$B$9)</f>
        <v>2437</v>
      </c>
      <c r="B62" s="23" t="str">
        <f aca="false">IF(Problemas!$D$9="","",Problemas!$D$9)</f>
        <v>Fácil</v>
      </c>
      <c r="C62" s="23" t="str">
        <f aca="false">Instrucoes!$B$7</f>
        <v>Claude</v>
      </c>
      <c r="D62" s="23" t="n">
        <v>2</v>
      </c>
      <c r="E62" s="24" t="s">
        <v>130</v>
      </c>
      <c r="F62" s="24" t="s">
        <v>12</v>
      </c>
      <c r="G62" s="24" t="s">
        <v>104</v>
      </c>
      <c r="H62" s="25" t="n">
        <v>1</v>
      </c>
      <c r="I62" s="24" t="s">
        <v>98</v>
      </c>
      <c r="J62" s="24" t="s">
        <v>98</v>
      </c>
      <c r="K62" s="24" t="s">
        <v>100</v>
      </c>
      <c r="L62" s="24" t="s">
        <v>100</v>
      </c>
      <c r="M62" s="26" t="n">
        <v>10</v>
      </c>
      <c r="N62" s="25" t="n">
        <v>1</v>
      </c>
      <c r="O62" s="26" t="n">
        <v>83.28</v>
      </c>
      <c r="P62" s="25" t="n">
        <v>2</v>
      </c>
      <c r="Q62" s="27" t="n">
        <v>0</v>
      </c>
      <c r="R62" s="24" t="s">
        <v>101</v>
      </c>
      <c r="S62" s="28" t="n">
        <v>0</v>
      </c>
      <c r="T62" s="24" t="s">
        <v>145</v>
      </c>
    </row>
    <row r="63" customFormat="false" ht="15" hidden="false" customHeight="true" outlineLevel="0" collapsed="false">
      <c r="A63" s="23" t="n">
        <f aca="false">IF(Problemas!$B$10="","",Problemas!$B$10)</f>
        <v>2867</v>
      </c>
      <c r="B63" s="23" t="str">
        <f aca="false">IF(Problemas!$D$10="","",Problemas!$D$10)</f>
        <v>Médio</v>
      </c>
      <c r="C63" s="23" t="str">
        <f aca="false">Instrucoes!$B$5</f>
        <v>ChatGPT</v>
      </c>
      <c r="D63" s="23" t="n">
        <v>2</v>
      </c>
      <c r="E63" s="24" t="s">
        <v>130</v>
      </c>
      <c r="F63" s="24" t="s">
        <v>5</v>
      </c>
      <c r="G63" s="24" t="s">
        <v>104</v>
      </c>
      <c r="H63" s="25" t="n">
        <v>1</v>
      </c>
      <c r="I63" s="24" t="s">
        <v>98</v>
      </c>
      <c r="J63" s="24" t="s">
        <v>98</v>
      </c>
      <c r="K63" s="24" t="s">
        <v>100</v>
      </c>
      <c r="L63" s="24" t="s">
        <v>100</v>
      </c>
      <c r="M63" s="26" t="n">
        <v>8</v>
      </c>
      <c r="N63" s="25" t="n">
        <v>3</v>
      </c>
      <c r="O63" s="26" t="n">
        <v>66.86</v>
      </c>
      <c r="P63" s="25" t="n">
        <v>11</v>
      </c>
      <c r="Q63" s="27" t="n">
        <v>0</v>
      </c>
      <c r="R63" s="24" t="s">
        <v>101</v>
      </c>
      <c r="S63" s="28" t="n">
        <v>0.005</v>
      </c>
      <c r="T63" s="24" t="s">
        <v>146</v>
      </c>
    </row>
    <row r="64" customFormat="false" ht="15" hidden="false" customHeight="true" outlineLevel="0" collapsed="false">
      <c r="A64" s="23" t="n">
        <f aca="false">IF(Problemas!$B$10="","",Problemas!$B$10)</f>
        <v>2867</v>
      </c>
      <c r="B64" s="23" t="str">
        <f aca="false">IF(Problemas!$D$10="","",Problemas!$D$10)</f>
        <v>Médio</v>
      </c>
      <c r="C64" s="23" t="str">
        <f aca="false">Instrucoes!$B$6</f>
        <v>Gemini</v>
      </c>
      <c r="D64" s="23" t="n">
        <v>2</v>
      </c>
      <c r="E64" s="24" t="s">
        <v>130</v>
      </c>
      <c r="F64" s="24" t="s">
        <v>9</v>
      </c>
      <c r="G64" s="24" t="s">
        <v>104</v>
      </c>
      <c r="H64" s="25" t="n">
        <v>1</v>
      </c>
      <c r="I64" s="24" t="s">
        <v>98</v>
      </c>
      <c r="J64" s="24" t="s">
        <v>98</v>
      </c>
      <c r="K64" s="24" t="s">
        <v>100</v>
      </c>
      <c r="L64" s="24" t="s">
        <v>100</v>
      </c>
      <c r="M64" s="26" t="n">
        <v>7.27</v>
      </c>
      <c r="N64" s="25" t="n">
        <v>7</v>
      </c>
      <c r="O64" s="26" t="n">
        <v>55.16</v>
      </c>
      <c r="P64" s="25" t="n">
        <v>23</v>
      </c>
      <c r="Q64" s="27" t="n">
        <v>0</v>
      </c>
      <c r="R64" s="24" t="s">
        <v>105</v>
      </c>
      <c r="S64" s="28" t="n">
        <v>0</v>
      </c>
      <c r="T64" s="24" t="s">
        <v>147</v>
      </c>
    </row>
    <row r="65" customFormat="false" ht="15" hidden="false" customHeight="true" outlineLevel="0" collapsed="false">
      <c r="A65" s="23" t="n">
        <f aca="false">IF(Problemas!$B$10="","",Problemas!$B$10)</f>
        <v>2867</v>
      </c>
      <c r="B65" s="23" t="str">
        <f aca="false">IF(Problemas!$D$10="","",Problemas!$D$10)</f>
        <v>Médio</v>
      </c>
      <c r="C65" s="23" t="str">
        <f aca="false">Instrucoes!$B$7</f>
        <v>Claude</v>
      </c>
      <c r="D65" s="23" t="n">
        <v>2</v>
      </c>
      <c r="E65" s="24" t="s">
        <v>130</v>
      </c>
      <c r="F65" s="24" t="s">
        <v>12</v>
      </c>
      <c r="G65" s="24" t="s">
        <v>104</v>
      </c>
      <c r="H65" s="25" t="n">
        <v>1</v>
      </c>
      <c r="I65" s="24" t="s">
        <v>98</v>
      </c>
      <c r="J65" s="24" t="s">
        <v>98</v>
      </c>
      <c r="K65" s="24" t="s">
        <v>100</v>
      </c>
      <c r="L65" s="24" t="s">
        <v>100</v>
      </c>
      <c r="M65" s="26" t="n">
        <v>8.24</v>
      </c>
      <c r="N65" s="25" t="n">
        <v>3</v>
      </c>
      <c r="O65" s="26" t="n">
        <v>61.01</v>
      </c>
      <c r="P65" s="25" t="n">
        <v>14</v>
      </c>
      <c r="Q65" s="27" t="n">
        <v>0</v>
      </c>
      <c r="R65" s="24" t="s">
        <v>105</v>
      </c>
      <c r="S65" s="28" t="n">
        <v>0.091</v>
      </c>
      <c r="T65" s="24" t="s">
        <v>148</v>
      </c>
    </row>
    <row r="66" customFormat="false" ht="15" hidden="false" customHeight="true" outlineLevel="0" collapsed="false">
      <c r="A66" s="23" t="n">
        <f aca="false">IF(Problemas!$B$11="","",Problemas!$B$11)</f>
        <v>2253</v>
      </c>
      <c r="B66" s="23" t="str">
        <f aca="false">IF(Problemas!$D$11="","",Problemas!$D$11)</f>
        <v>Médio</v>
      </c>
      <c r="C66" s="23" t="str">
        <f aca="false">Instrucoes!$B$5</f>
        <v>ChatGPT</v>
      </c>
      <c r="D66" s="23" t="n">
        <v>2</v>
      </c>
      <c r="E66" s="24" t="s">
        <v>130</v>
      </c>
      <c r="F66" s="24" t="s">
        <v>5</v>
      </c>
      <c r="G66" s="24" t="s">
        <v>104</v>
      </c>
      <c r="H66" s="25" t="n">
        <v>1</v>
      </c>
      <c r="I66" s="24" t="s">
        <v>98</v>
      </c>
      <c r="J66" s="24" t="s">
        <v>98</v>
      </c>
      <c r="K66" s="24" t="s">
        <v>100</v>
      </c>
      <c r="L66" s="24" t="s">
        <v>100</v>
      </c>
      <c r="M66" s="26" t="n">
        <v>6</v>
      </c>
      <c r="N66" s="25" t="n">
        <v>13</v>
      </c>
      <c r="O66" s="26" t="n">
        <v>68.16</v>
      </c>
      <c r="P66" s="25" t="n">
        <v>11</v>
      </c>
      <c r="Q66" s="27" t="n">
        <v>0</v>
      </c>
      <c r="R66" s="24" t="s">
        <v>101</v>
      </c>
      <c r="S66" s="28" t="n">
        <v>0</v>
      </c>
      <c r="T66" s="24" t="s">
        <v>149</v>
      </c>
    </row>
    <row r="67" customFormat="false" ht="15" hidden="false" customHeight="true" outlineLevel="0" collapsed="false">
      <c r="A67" s="23" t="n">
        <f aca="false">IF(Problemas!$B$11="","",Problemas!$B$11)</f>
        <v>2253</v>
      </c>
      <c r="B67" s="23" t="str">
        <f aca="false">IF(Problemas!$D$11="","",Problemas!$D$11)</f>
        <v>Médio</v>
      </c>
      <c r="C67" s="23" t="str">
        <f aca="false">Instrucoes!$B$6</f>
        <v>Gemini</v>
      </c>
      <c r="D67" s="23" t="n">
        <v>2</v>
      </c>
      <c r="E67" s="24" t="s">
        <v>130</v>
      </c>
      <c r="F67" s="24" t="s">
        <v>9</v>
      </c>
      <c r="G67" s="24" t="s">
        <v>104</v>
      </c>
      <c r="H67" s="25" t="n">
        <v>1</v>
      </c>
      <c r="I67" s="24" t="s">
        <v>98</v>
      </c>
      <c r="J67" s="24" t="s">
        <v>98</v>
      </c>
      <c r="K67" s="24" t="s">
        <v>100</v>
      </c>
      <c r="L67" s="24" t="s">
        <v>100</v>
      </c>
      <c r="M67" s="26" t="n">
        <v>8</v>
      </c>
      <c r="N67" s="25" t="n">
        <v>12</v>
      </c>
      <c r="O67" s="26" t="n">
        <v>52.32</v>
      </c>
      <c r="P67" s="25" t="n">
        <v>27</v>
      </c>
      <c r="Q67" s="27" t="n">
        <v>0</v>
      </c>
      <c r="R67" s="24" t="s">
        <v>105</v>
      </c>
      <c r="S67" s="28" t="n">
        <v>0</v>
      </c>
      <c r="T67" s="24" t="s">
        <v>150</v>
      </c>
    </row>
    <row r="68" customFormat="false" ht="15" hidden="false" customHeight="true" outlineLevel="0" collapsed="false">
      <c r="A68" s="23" t="n">
        <f aca="false">IF(Problemas!$B$11="","",Problemas!$B$11)</f>
        <v>2253</v>
      </c>
      <c r="B68" s="23" t="str">
        <f aca="false">IF(Problemas!$D$11="","",Problemas!$D$11)</f>
        <v>Médio</v>
      </c>
      <c r="C68" s="23" t="str">
        <f aca="false">Instrucoes!$B$7</f>
        <v>Claude</v>
      </c>
      <c r="D68" s="23" t="n">
        <v>2</v>
      </c>
      <c r="E68" s="24" t="s">
        <v>130</v>
      </c>
      <c r="F68" s="24" t="s">
        <v>12</v>
      </c>
      <c r="G68" s="24" t="s">
        <v>104</v>
      </c>
      <c r="H68" s="25" t="n">
        <v>1</v>
      </c>
      <c r="I68" s="24" t="s">
        <v>98</v>
      </c>
      <c r="J68" s="24" t="s">
        <v>98</v>
      </c>
      <c r="K68" s="24" t="s">
        <v>100</v>
      </c>
      <c r="L68" s="24" t="s">
        <v>100</v>
      </c>
      <c r="M68" s="26" t="n">
        <v>9.05</v>
      </c>
      <c r="N68" s="25" t="n">
        <v>10</v>
      </c>
      <c r="O68" s="26" t="n">
        <v>55.43</v>
      </c>
      <c r="P68" s="25" t="n">
        <v>22</v>
      </c>
      <c r="Q68" s="27" t="n">
        <v>0</v>
      </c>
      <c r="R68" s="24" t="s">
        <v>105</v>
      </c>
      <c r="S68" s="28" t="n">
        <v>0.048</v>
      </c>
      <c r="T68" s="24" t="s">
        <v>151</v>
      </c>
    </row>
    <row r="69" customFormat="false" ht="15" hidden="false" customHeight="true" outlineLevel="0" collapsed="false">
      <c r="A69" s="23" t="n">
        <f aca="false">IF(Problemas!$B$12="","",Problemas!$B$12)</f>
        <v>1032</v>
      </c>
      <c r="B69" s="23" t="str">
        <f aca="false">IF(Problemas!$D$12="","",Problemas!$D$12)</f>
        <v>Médio</v>
      </c>
      <c r="C69" s="23" t="str">
        <f aca="false">Instrucoes!$B$5</f>
        <v>ChatGPT</v>
      </c>
      <c r="D69" s="23" t="n">
        <v>2</v>
      </c>
      <c r="E69" s="24" t="s">
        <v>130</v>
      </c>
      <c r="F69" s="24" t="s">
        <v>5</v>
      </c>
      <c r="G69" s="24" t="s">
        <v>104</v>
      </c>
      <c r="H69" s="25" t="n">
        <v>1</v>
      </c>
      <c r="I69" s="24" t="s">
        <v>98</v>
      </c>
      <c r="J69" s="24" t="s">
        <v>98</v>
      </c>
      <c r="K69" s="24" t="s">
        <v>100</v>
      </c>
      <c r="L69" s="24" t="s">
        <v>100</v>
      </c>
      <c r="M69" s="26" t="n">
        <v>9.71</v>
      </c>
      <c r="N69" s="25" t="n">
        <v>11</v>
      </c>
      <c r="O69" s="26" t="n">
        <v>48.66</v>
      </c>
      <c r="P69" s="25" t="n">
        <v>35</v>
      </c>
      <c r="Q69" s="27" t="n">
        <v>0</v>
      </c>
      <c r="R69" s="24" t="s">
        <v>105</v>
      </c>
      <c r="S69" s="28" t="n">
        <v>0.006</v>
      </c>
      <c r="T69" s="24" t="s">
        <v>152</v>
      </c>
    </row>
    <row r="70" customFormat="false" ht="15" hidden="false" customHeight="true" outlineLevel="0" collapsed="false">
      <c r="A70" s="23" t="n">
        <f aca="false">IF(Problemas!$B$12="","",Problemas!$B$12)</f>
        <v>1032</v>
      </c>
      <c r="B70" s="23" t="str">
        <f aca="false">IF(Problemas!$D$12="","",Problemas!$D$12)</f>
        <v>Médio</v>
      </c>
      <c r="C70" s="23" t="str">
        <f aca="false">Instrucoes!$B$6</f>
        <v>Gemini</v>
      </c>
      <c r="D70" s="23" t="n">
        <v>2</v>
      </c>
      <c r="E70" s="24" t="s">
        <v>130</v>
      </c>
      <c r="F70" s="24" t="s">
        <v>9</v>
      </c>
      <c r="G70" s="24" t="s">
        <v>104</v>
      </c>
      <c r="H70" s="25" t="n">
        <v>1</v>
      </c>
      <c r="I70" s="24" t="s">
        <v>98</v>
      </c>
      <c r="J70" s="24" t="s">
        <v>98</v>
      </c>
      <c r="K70" s="24" t="s">
        <v>100</v>
      </c>
      <c r="L70" s="24" t="s">
        <v>100</v>
      </c>
      <c r="M70" s="26" t="n">
        <v>7.86</v>
      </c>
      <c r="N70" s="25" t="n">
        <v>9</v>
      </c>
      <c r="O70" s="26" t="n">
        <v>70.88</v>
      </c>
      <c r="P70" s="25" t="n">
        <v>28</v>
      </c>
      <c r="Q70" s="27" t="n">
        <v>0.0968</v>
      </c>
      <c r="R70" s="24" t="s">
        <v>105</v>
      </c>
      <c r="S70" s="28" t="n">
        <v>0</v>
      </c>
      <c r="T70" s="24" t="s">
        <v>153</v>
      </c>
    </row>
    <row r="71" customFormat="false" ht="15" hidden="false" customHeight="true" outlineLevel="0" collapsed="false">
      <c r="A71" s="23" t="n">
        <f aca="false">IF(Problemas!$B$12="","",Problemas!$B$12)</f>
        <v>1032</v>
      </c>
      <c r="B71" s="23" t="str">
        <f aca="false">IF(Problemas!$D$12="","",Problemas!$D$12)</f>
        <v>Médio</v>
      </c>
      <c r="C71" s="23" t="str">
        <f aca="false">Instrucoes!$B$7</f>
        <v>Claude</v>
      </c>
      <c r="D71" s="23" t="n">
        <v>2</v>
      </c>
      <c r="E71" s="24" t="s">
        <v>130</v>
      </c>
      <c r="F71" s="24" t="s">
        <v>12</v>
      </c>
      <c r="G71" s="24" t="s">
        <v>104</v>
      </c>
      <c r="H71" s="25" t="n">
        <v>1</v>
      </c>
      <c r="I71" s="24" t="s">
        <v>98</v>
      </c>
      <c r="J71" s="24" t="s">
        <v>98</v>
      </c>
      <c r="K71" s="24" t="s">
        <v>100</v>
      </c>
      <c r="L71" s="24" t="s">
        <v>100</v>
      </c>
      <c r="M71" s="26" t="n">
        <v>9.51</v>
      </c>
      <c r="N71" s="25" t="n">
        <v>12</v>
      </c>
      <c r="O71" s="26" t="n">
        <v>46.24</v>
      </c>
      <c r="P71" s="25" t="n">
        <v>41</v>
      </c>
      <c r="Q71" s="27" t="n">
        <v>0</v>
      </c>
      <c r="R71" s="24" t="s">
        <v>105</v>
      </c>
      <c r="S71" s="28" t="n">
        <v>0.02</v>
      </c>
      <c r="T71" s="24" t="s">
        <v>154</v>
      </c>
    </row>
    <row r="72" customFormat="false" ht="15" hidden="false" customHeight="true" outlineLevel="0" collapsed="false">
      <c r="A72" s="23" t="n">
        <f aca="false">IF(Problemas!$B$13="","",Problemas!$B$13)</f>
        <v>1033</v>
      </c>
      <c r="B72" s="23" t="str">
        <f aca="false">IF(Problemas!$D$13="","",Problemas!$D$13)</f>
        <v>Médio</v>
      </c>
      <c r="C72" s="23" t="str">
        <f aca="false">Instrucoes!$B$5</f>
        <v>ChatGPT</v>
      </c>
      <c r="D72" s="23" t="n">
        <v>2</v>
      </c>
      <c r="E72" s="24" t="s">
        <v>130</v>
      </c>
      <c r="F72" s="24" t="s">
        <v>5</v>
      </c>
      <c r="G72" s="24" t="s">
        <v>97</v>
      </c>
      <c r="H72" s="25" t="n">
        <v>2</v>
      </c>
      <c r="I72" s="24" t="s">
        <v>98</v>
      </c>
      <c r="J72" s="24" t="s">
        <v>99</v>
      </c>
      <c r="K72" s="24" t="s">
        <v>98</v>
      </c>
      <c r="L72" s="24" t="s">
        <v>100</v>
      </c>
      <c r="M72" s="26" t="n">
        <v>10</v>
      </c>
      <c r="N72" s="25" t="n">
        <v>8</v>
      </c>
      <c r="O72" s="26" t="n">
        <v>51.65</v>
      </c>
      <c r="P72" s="25" t="n">
        <v>23</v>
      </c>
      <c r="Q72" s="27" t="n">
        <v>0</v>
      </c>
      <c r="R72" s="24" t="s">
        <v>105</v>
      </c>
      <c r="S72" s="28" t="n">
        <v>0.006</v>
      </c>
      <c r="T72" s="24" t="s">
        <v>155</v>
      </c>
    </row>
    <row r="73" customFormat="false" ht="15" hidden="false" customHeight="true" outlineLevel="0" collapsed="false">
      <c r="A73" s="23" t="n">
        <f aca="false">IF(Problemas!$B$13="","",Problemas!$B$13)</f>
        <v>1033</v>
      </c>
      <c r="B73" s="23" t="str">
        <f aca="false">IF(Problemas!$D$13="","",Problemas!$D$13)</f>
        <v>Médio</v>
      </c>
      <c r="C73" s="23" t="str">
        <f aca="false">Instrucoes!$B$6</f>
        <v>Gemini</v>
      </c>
      <c r="D73" s="23" t="n">
        <v>2</v>
      </c>
      <c r="E73" s="24" t="s">
        <v>130</v>
      </c>
      <c r="F73" s="24" t="s">
        <v>9</v>
      </c>
      <c r="G73" s="24" t="s">
        <v>97</v>
      </c>
      <c r="H73" s="25" t="n">
        <v>2</v>
      </c>
      <c r="I73" s="24" t="s">
        <v>98</v>
      </c>
      <c r="J73" s="24" t="s">
        <v>99</v>
      </c>
      <c r="K73" s="24" t="s">
        <v>98</v>
      </c>
      <c r="L73" s="24" t="s">
        <v>100</v>
      </c>
      <c r="M73" s="26" t="n">
        <v>7.57</v>
      </c>
      <c r="N73" s="25" t="n">
        <v>11</v>
      </c>
      <c r="O73" s="26" t="n">
        <v>53.49</v>
      </c>
      <c r="P73" s="25" t="n">
        <v>41</v>
      </c>
      <c r="Q73" s="27" t="n">
        <v>0.0238</v>
      </c>
      <c r="R73" s="24" t="s">
        <v>105</v>
      </c>
      <c r="S73" s="28" t="n">
        <v>0.035</v>
      </c>
      <c r="T73" s="24" t="s">
        <v>156</v>
      </c>
    </row>
    <row r="74" customFormat="false" ht="15" hidden="false" customHeight="true" outlineLevel="0" collapsed="false">
      <c r="A74" s="23" t="n">
        <f aca="false">IF(Problemas!$B$13="","",Problemas!$B$13)</f>
        <v>1033</v>
      </c>
      <c r="B74" s="23" t="str">
        <f aca="false">IF(Problemas!$D$13="","",Problemas!$D$13)</f>
        <v>Médio</v>
      </c>
      <c r="C74" s="23" t="str">
        <f aca="false">Instrucoes!$B$7</f>
        <v>Claude</v>
      </c>
      <c r="D74" s="23" t="n">
        <v>2</v>
      </c>
      <c r="E74" s="24" t="s">
        <v>130</v>
      </c>
      <c r="F74" s="24" t="s">
        <v>12</v>
      </c>
      <c r="G74" s="24" t="s">
        <v>104</v>
      </c>
      <c r="H74" s="25" t="n">
        <v>1</v>
      </c>
      <c r="I74" s="24" t="s">
        <v>98</v>
      </c>
      <c r="J74" s="24" t="s">
        <v>98</v>
      </c>
      <c r="K74" s="24" t="s">
        <v>100</v>
      </c>
      <c r="L74" s="24" t="s">
        <v>100</v>
      </c>
      <c r="M74" s="26" t="n">
        <v>9.38</v>
      </c>
      <c r="N74" s="25" t="n">
        <v>7</v>
      </c>
      <c r="O74" s="26" t="n">
        <v>47.02</v>
      </c>
      <c r="P74" s="25" t="n">
        <v>32</v>
      </c>
      <c r="Q74" s="27" t="n">
        <v>0</v>
      </c>
      <c r="R74" s="24" t="s">
        <v>105</v>
      </c>
      <c r="S74" s="28" t="n">
        <v>0.006</v>
      </c>
      <c r="T74" s="24" t="s">
        <v>157</v>
      </c>
    </row>
    <row r="75" customFormat="false" ht="15" hidden="false" customHeight="true" outlineLevel="0" collapsed="false">
      <c r="A75" s="23" t="n">
        <f aca="false">IF(Problemas!$B$14="","",Problemas!$B$14)</f>
        <v>1243</v>
      </c>
      <c r="B75" s="23" t="str">
        <f aca="false">IF(Problemas!$D$14="","",Problemas!$D$14)</f>
        <v>Médio</v>
      </c>
      <c r="C75" s="23" t="str">
        <f aca="false">Instrucoes!$B$5</f>
        <v>ChatGPT</v>
      </c>
      <c r="D75" s="23" t="n">
        <v>2</v>
      </c>
      <c r="E75" s="24" t="s">
        <v>130</v>
      </c>
      <c r="F75" s="24" t="s">
        <v>5</v>
      </c>
      <c r="G75" s="24" t="s">
        <v>104</v>
      </c>
      <c r="H75" s="25" t="n">
        <v>1</v>
      </c>
      <c r="I75" s="24" t="s">
        <v>98</v>
      </c>
      <c r="J75" s="24" t="s">
        <v>98</v>
      </c>
      <c r="K75" s="24" t="s">
        <v>100</v>
      </c>
      <c r="L75" s="24" t="s">
        <v>100</v>
      </c>
      <c r="M75" s="26" t="n">
        <v>9.44</v>
      </c>
      <c r="N75" s="25" t="n">
        <v>10</v>
      </c>
      <c r="O75" s="26" t="n">
        <v>57.9</v>
      </c>
      <c r="P75" s="25" t="n">
        <v>20</v>
      </c>
      <c r="Q75" s="27" t="n">
        <v>0</v>
      </c>
      <c r="R75" s="24" t="s">
        <v>101</v>
      </c>
      <c r="S75" s="28" t="n">
        <v>0.084</v>
      </c>
      <c r="T75" s="24" t="s">
        <v>158</v>
      </c>
    </row>
    <row r="76" customFormat="false" ht="15" hidden="false" customHeight="true" outlineLevel="0" collapsed="false">
      <c r="A76" s="23" t="n">
        <f aca="false">IF(Problemas!$B$14="","",Problemas!$B$14)</f>
        <v>1243</v>
      </c>
      <c r="B76" s="23" t="str">
        <f aca="false">IF(Problemas!$D$14="","",Problemas!$D$14)</f>
        <v>Médio</v>
      </c>
      <c r="C76" s="23" t="str">
        <f aca="false">Instrucoes!$B$6</f>
        <v>Gemini</v>
      </c>
      <c r="D76" s="23" t="n">
        <v>2</v>
      </c>
      <c r="E76" s="24" t="s">
        <v>130</v>
      </c>
      <c r="F76" s="24" t="s">
        <v>9</v>
      </c>
      <c r="G76" s="24" t="s">
        <v>104</v>
      </c>
      <c r="H76" s="25" t="n">
        <v>1</v>
      </c>
      <c r="I76" s="24" t="s">
        <v>98</v>
      </c>
      <c r="J76" s="24" t="s">
        <v>98</v>
      </c>
      <c r="K76" s="24" t="s">
        <v>100</v>
      </c>
      <c r="L76" s="24" t="s">
        <v>100</v>
      </c>
      <c r="M76" s="26" t="n">
        <v>8.39</v>
      </c>
      <c r="N76" s="25" t="n">
        <v>12</v>
      </c>
      <c r="O76" s="26" t="n">
        <v>49.63</v>
      </c>
      <c r="P76" s="25" t="n">
        <v>34</v>
      </c>
      <c r="Q76" s="27" t="n">
        <v>0</v>
      </c>
      <c r="R76" s="24" t="s">
        <v>105</v>
      </c>
      <c r="S76" s="28" t="n">
        <v>0.032</v>
      </c>
      <c r="T76" s="24" t="s">
        <v>159</v>
      </c>
    </row>
    <row r="77" customFormat="false" ht="15" hidden="false" customHeight="true" outlineLevel="0" collapsed="false">
      <c r="A77" s="23" t="n">
        <f aca="false">IF(Problemas!$B$14="","",Problemas!$B$14)</f>
        <v>1243</v>
      </c>
      <c r="B77" s="23" t="str">
        <f aca="false">IF(Problemas!$D$14="","",Problemas!$D$14)</f>
        <v>Médio</v>
      </c>
      <c r="C77" s="23" t="str">
        <f aca="false">Instrucoes!$B$7</f>
        <v>Claude</v>
      </c>
      <c r="D77" s="23" t="n">
        <v>2</v>
      </c>
      <c r="E77" s="24" t="s">
        <v>130</v>
      </c>
      <c r="F77" s="24" t="s">
        <v>12</v>
      </c>
      <c r="G77" s="24" t="s">
        <v>104</v>
      </c>
      <c r="H77" s="25" t="n">
        <v>1</v>
      </c>
      <c r="I77" s="24" t="s">
        <v>98</v>
      </c>
      <c r="J77" s="24" t="s">
        <v>98</v>
      </c>
      <c r="K77" s="24" t="s">
        <v>100</v>
      </c>
      <c r="L77" s="24" t="s">
        <v>100</v>
      </c>
      <c r="M77" s="26" t="n">
        <v>9.23</v>
      </c>
      <c r="N77" s="25" t="n">
        <v>11</v>
      </c>
      <c r="O77" s="26" t="n">
        <v>52.36</v>
      </c>
      <c r="P77" s="25" t="n">
        <v>27</v>
      </c>
      <c r="Q77" s="27" t="n">
        <v>0</v>
      </c>
      <c r="R77" s="24" t="s">
        <v>105</v>
      </c>
      <c r="S77" s="28" t="n">
        <v>0.077</v>
      </c>
      <c r="T77" s="24" t="s">
        <v>160</v>
      </c>
    </row>
    <row r="78" customFormat="false" ht="15" hidden="false" customHeight="true" outlineLevel="0" collapsed="false">
      <c r="A78" s="23" t="n">
        <f aca="false">IF(Problemas!$B$15="","",Problemas!$B$15)</f>
        <v>1084</v>
      </c>
      <c r="B78" s="23" t="str">
        <f aca="false">IF(Problemas!$D$15="","",Problemas!$D$15)</f>
        <v>Difícil</v>
      </c>
      <c r="C78" s="23" t="str">
        <f aca="false">Instrucoes!$B$5</f>
        <v>ChatGPT</v>
      </c>
      <c r="D78" s="23" t="n">
        <v>2</v>
      </c>
      <c r="E78" s="24" t="s">
        <v>130</v>
      </c>
      <c r="F78" s="24" t="s">
        <v>5</v>
      </c>
      <c r="G78" s="24" t="s">
        <v>97</v>
      </c>
      <c r="H78" s="25" t="n">
        <v>3</v>
      </c>
      <c r="I78" s="24" t="s">
        <v>98</v>
      </c>
      <c r="J78" s="24" t="s">
        <v>107</v>
      </c>
      <c r="K78" s="24" t="s">
        <v>107</v>
      </c>
      <c r="L78" s="24" t="s">
        <v>98</v>
      </c>
      <c r="M78" s="26" t="n">
        <v>10</v>
      </c>
      <c r="N78" s="25" t="n">
        <v>10</v>
      </c>
      <c r="O78" s="26" t="n">
        <v>51.29</v>
      </c>
      <c r="P78" s="25" t="n">
        <v>26</v>
      </c>
      <c r="Q78" s="27" t="n">
        <v>0</v>
      </c>
      <c r="R78" s="24" t="s">
        <v>105</v>
      </c>
      <c r="S78" s="28" t="n">
        <v>0.1</v>
      </c>
      <c r="T78" s="24" t="s">
        <v>161</v>
      </c>
    </row>
    <row r="79" customFormat="false" ht="15" hidden="false" customHeight="true" outlineLevel="0" collapsed="false">
      <c r="A79" s="23" t="n">
        <f aca="false">IF(Problemas!$B$15="","",Problemas!$B$15)</f>
        <v>1084</v>
      </c>
      <c r="B79" s="23" t="str">
        <f aca="false">IF(Problemas!$D$15="","",Problemas!$D$15)</f>
        <v>Difícil</v>
      </c>
      <c r="C79" s="23" t="str">
        <f aca="false">Instrucoes!$B$6</f>
        <v>Gemini</v>
      </c>
      <c r="D79" s="23" t="n">
        <v>2</v>
      </c>
      <c r="E79" s="24" t="s">
        <v>130</v>
      </c>
      <c r="F79" s="24" t="s">
        <v>9</v>
      </c>
      <c r="G79" s="24" t="s">
        <v>104</v>
      </c>
      <c r="H79" s="25" t="n">
        <v>1</v>
      </c>
      <c r="I79" s="24" t="s">
        <v>98</v>
      </c>
      <c r="J79" s="24" t="s">
        <v>98</v>
      </c>
      <c r="K79" s="24" t="s">
        <v>100</v>
      </c>
      <c r="L79" s="24" t="s">
        <v>100</v>
      </c>
      <c r="M79" s="26" t="n">
        <v>7.04</v>
      </c>
      <c r="N79" s="25" t="n">
        <v>10</v>
      </c>
      <c r="O79" s="26" t="n">
        <v>50.87</v>
      </c>
      <c r="P79" s="25" t="n">
        <v>27</v>
      </c>
      <c r="Q79" s="27" t="n">
        <v>0</v>
      </c>
      <c r="R79" s="24" t="s">
        <v>105</v>
      </c>
      <c r="S79" s="28" t="n">
        <v>0.09</v>
      </c>
      <c r="T79" s="24" t="s">
        <v>162</v>
      </c>
    </row>
    <row r="80" customFormat="false" ht="15" hidden="false" customHeight="true" outlineLevel="0" collapsed="false">
      <c r="A80" s="23" t="n">
        <f aca="false">IF(Problemas!$B$15="","",Problemas!$B$15)</f>
        <v>1084</v>
      </c>
      <c r="B80" s="23" t="str">
        <f aca="false">IF(Problemas!$D$15="","",Problemas!$D$15)</f>
        <v>Difícil</v>
      </c>
      <c r="C80" s="23" t="str">
        <f aca="false">Instrucoes!$B$7</f>
        <v>Claude</v>
      </c>
      <c r="D80" s="23" t="n">
        <v>2</v>
      </c>
      <c r="E80" s="24" t="s">
        <v>130</v>
      </c>
      <c r="F80" s="24" t="s">
        <v>12</v>
      </c>
      <c r="G80" s="24" t="s">
        <v>104</v>
      </c>
      <c r="H80" s="25" t="n">
        <v>1</v>
      </c>
      <c r="I80" s="24" t="s">
        <v>98</v>
      </c>
      <c r="J80" s="24" t="s">
        <v>98</v>
      </c>
      <c r="K80" s="24" t="s">
        <v>100</v>
      </c>
      <c r="L80" s="24" t="s">
        <v>100</v>
      </c>
      <c r="M80" s="26" t="n">
        <v>9.2</v>
      </c>
      <c r="N80" s="25" t="n">
        <v>8</v>
      </c>
      <c r="O80" s="26" t="n">
        <v>52.66</v>
      </c>
      <c r="P80" s="25" t="n">
        <v>22</v>
      </c>
      <c r="Q80" s="27" t="n">
        <v>0</v>
      </c>
      <c r="R80" s="24" t="s">
        <v>105</v>
      </c>
      <c r="S80" s="28" t="n">
        <v>0.092</v>
      </c>
      <c r="T80" s="24" t="s">
        <v>163</v>
      </c>
    </row>
    <row r="81" customFormat="false" ht="15" hidden="false" customHeight="true" outlineLevel="0" collapsed="false">
      <c r="A81" s="23" t="n">
        <f aca="false">IF(Problemas!$B$16="","",Problemas!$B$16)</f>
        <v>1034</v>
      </c>
      <c r="B81" s="23" t="str">
        <f aca="false">IF(Problemas!$D$16="","",Problemas!$D$16)</f>
        <v>Difícil</v>
      </c>
      <c r="C81" s="23" t="str">
        <f aca="false">Instrucoes!$B$5</f>
        <v>ChatGPT</v>
      </c>
      <c r="D81" s="23" t="n">
        <v>2</v>
      </c>
      <c r="E81" s="24" t="s">
        <v>130</v>
      </c>
      <c r="F81" s="24" t="s">
        <v>5</v>
      </c>
      <c r="G81" s="24" t="s">
        <v>97</v>
      </c>
      <c r="H81" s="25" t="n">
        <v>2</v>
      </c>
      <c r="I81" s="24" t="s">
        <v>98</v>
      </c>
      <c r="J81" s="24" t="s">
        <v>115</v>
      </c>
      <c r="K81" s="24" t="s">
        <v>98</v>
      </c>
      <c r="L81" s="24" t="s">
        <v>100</v>
      </c>
      <c r="M81" s="26" t="n">
        <v>6.82</v>
      </c>
      <c r="N81" s="25" t="n">
        <v>7</v>
      </c>
      <c r="O81" s="26" t="n">
        <v>55.47</v>
      </c>
      <c r="P81" s="25" t="n">
        <v>22</v>
      </c>
      <c r="Q81" s="27" t="n">
        <v>0</v>
      </c>
      <c r="R81" s="24" t="s">
        <v>105</v>
      </c>
      <c r="S81" s="28" t="n">
        <v>0.803</v>
      </c>
      <c r="T81" s="24" t="s">
        <v>164</v>
      </c>
    </row>
    <row r="82" customFormat="false" ht="15" hidden="false" customHeight="true" outlineLevel="0" collapsed="false">
      <c r="A82" s="23" t="n">
        <f aca="false">IF(Problemas!$B$16="","",Problemas!$B$16)</f>
        <v>1034</v>
      </c>
      <c r="B82" s="23" t="str">
        <f aca="false">IF(Problemas!$D$16="","",Problemas!$D$16)</f>
        <v>Difícil</v>
      </c>
      <c r="C82" s="23" t="str">
        <f aca="false">Instrucoes!$B$6</f>
        <v>Gemini</v>
      </c>
      <c r="D82" s="23" t="n">
        <v>2</v>
      </c>
      <c r="E82" s="24" t="s">
        <v>130</v>
      </c>
      <c r="F82" s="24" t="s">
        <v>9</v>
      </c>
      <c r="G82" s="24" t="s">
        <v>97</v>
      </c>
      <c r="H82" s="25"/>
      <c r="I82" s="24" t="s">
        <v>106</v>
      </c>
      <c r="J82" s="24" t="s">
        <v>115</v>
      </c>
      <c r="K82" s="24" t="s">
        <v>115</v>
      </c>
      <c r="L82" s="24" t="s">
        <v>115</v>
      </c>
      <c r="M82" s="26" t="n">
        <v>7.31</v>
      </c>
      <c r="N82" s="25" t="n">
        <v>8</v>
      </c>
      <c r="O82" s="26" t="n">
        <v>52.5</v>
      </c>
      <c r="P82" s="25" t="n">
        <v>26</v>
      </c>
      <c r="Q82" s="27" t="n">
        <v>0</v>
      </c>
      <c r="R82" s="24" t="s">
        <v>105</v>
      </c>
      <c r="S82" s="28"/>
      <c r="T82" s="24" t="s">
        <v>165</v>
      </c>
    </row>
    <row r="83" customFormat="false" ht="15" hidden="false" customHeight="true" outlineLevel="0" collapsed="false">
      <c r="A83" s="23" t="n">
        <f aca="false">IF(Problemas!$B$16="","",Problemas!$B$16)</f>
        <v>1034</v>
      </c>
      <c r="B83" s="23" t="str">
        <f aca="false">IF(Problemas!$D$16="","",Problemas!$D$16)</f>
        <v>Difícil</v>
      </c>
      <c r="C83" s="23" t="str">
        <f aca="false">Instrucoes!$B$7</f>
        <v>Claude</v>
      </c>
      <c r="D83" s="23" t="n">
        <v>2</v>
      </c>
      <c r="E83" s="24" t="s">
        <v>130</v>
      </c>
      <c r="F83" s="24" t="s">
        <v>12</v>
      </c>
      <c r="G83" s="24" t="s">
        <v>97</v>
      </c>
      <c r="H83" s="25"/>
      <c r="I83" s="24" t="s">
        <v>106</v>
      </c>
      <c r="J83" s="24" t="s">
        <v>115</v>
      </c>
      <c r="K83" s="24" t="s">
        <v>118</v>
      </c>
      <c r="L83" s="24" t="s">
        <v>115</v>
      </c>
      <c r="M83" s="26" t="n">
        <v>8.67</v>
      </c>
      <c r="N83" s="25" t="n">
        <v>8</v>
      </c>
      <c r="O83" s="26" t="n">
        <v>50.89</v>
      </c>
      <c r="P83" s="25" t="n">
        <v>27</v>
      </c>
      <c r="Q83" s="27" t="n">
        <v>0</v>
      </c>
      <c r="R83" s="24" t="s">
        <v>105</v>
      </c>
      <c r="S83" s="28"/>
      <c r="T83" s="24" t="s">
        <v>166</v>
      </c>
    </row>
    <row r="84" customFormat="false" ht="15" hidden="false" customHeight="true" outlineLevel="0" collapsed="false">
      <c r="A84" s="23" t="n">
        <f aca="false">IF(Problemas!$B$17="","",Problemas!$B$17)</f>
        <v>1027</v>
      </c>
      <c r="B84" s="23" t="str">
        <f aca="false">IF(Problemas!$D$17="","",Problemas!$D$17)</f>
        <v>Difícil</v>
      </c>
      <c r="C84" s="23" t="str">
        <f aca="false">Instrucoes!$B$5</f>
        <v>ChatGPT</v>
      </c>
      <c r="D84" s="23" t="n">
        <v>2</v>
      </c>
      <c r="E84" s="24" t="s">
        <v>130</v>
      </c>
      <c r="F84" s="24" t="s">
        <v>5</v>
      </c>
      <c r="G84" s="24" t="s">
        <v>97</v>
      </c>
      <c r="H84" s="25"/>
      <c r="I84" s="24" t="s">
        <v>106</v>
      </c>
      <c r="J84" s="24" t="s">
        <v>99</v>
      </c>
      <c r="K84" s="24" t="s">
        <v>99</v>
      </c>
      <c r="L84" s="24" t="s">
        <v>99</v>
      </c>
      <c r="M84" s="26" t="n">
        <v>9.83</v>
      </c>
      <c r="N84" s="25" t="n">
        <v>27</v>
      </c>
      <c r="O84" s="26" t="n">
        <v>37.5</v>
      </c>
      <c r="P84" s="25" t="n">
        <v>61</v>
      </c>
      <c r="Q84" s="27" t="n">
        <v>0</v>
      </c>
      <c r="R84" s="24" t="s">
        <v>105</v>
      </c>
      <c r="S84" s="28"/>
      <c r="T84" s="24" t="s">
        <v>167</v>
      </c>
    </row>
    <row r="85" customFormat="false" ht="15" hidden="false" customHeight="true" outlineLevel="0" collapsed="false">
      <c r="A85" s="23" t="n">
        <f aca="false">IF(Problemas!$B$17="","",Problemas!$B$17)</f>
        <v>1027</v>
      </c>
      <c r="B85" s="23" t="str">
        <f aca="false">IF(Problemas!$D$17="","",Problemas!$D$17)</f>
        <v>Difícil</v>
      </c>
      <c r="C85" s="23" t="str">
        <f aca="false">Instrucoes!$B$6</f>
        <v>Gemini</v>
      </c>
      <c r="D85" s="23" t="n">
        <v>2</v>
      </c>
      <c r="E85" s="24" t="s">
        <v>130</v>
      </c>
      <c r="F85" s="24" t="s">
        <v>9</v>
      </c>
      <c r="G85" s="24" t="s">
        <v>97</v>
      </c>
      <c r="H85" s="25" t="n">
        <v>2</v>
      </c>
      <c r="I85" s="24" t="s">
        <v>98</v>
      </c>
      <c r="J85" s="24" t="s">
        <v>115</v>
      </c>
      <c r="K85" s="24" t="s">
        <v>98</v>
      </c>
      <c r="L85" s="24" t="s">
        <v>100</v>
      </c>
      <c r="M85" s="26" t="n">
        <v>6.18</v>
      </c>
      <c r="N85" s="25" t="n">
        <v>17</v>
      </c>
      <c r="O85" s="26" t="n">
        <v>64</v>
      </c>
      <c r="P85" s="25" t="n">
        <v>55</v>
      </c>
      <c r="Q85" s="27" t="n">
        <v>0.127</v>
      </c>
      <c r="R85" s="24" t="s">
        <v>105</v>
      </c>
      <c r="S85" s="28" t="n">
        <v>0.227</v>
      </c>
      <c r="T85" s="24" t="s">
        <v>168</v>
      </c>
    </row>
    <row r="86" customFormat="false" ht="15" hidden="false" customHeight="true" outlineLevel="0" collapsed="false">
      <c r="A86" s="23" t="n">
        <f aca="false">IF(Problemas!$B$17="","",Problemas!$B$17)</f>
        <v>1027</v>
      </c>
      <c r="B86" s="23" t="str">
        <f aca="false">IF(Problemas!$D$17="","",Problemas!$D$17)</f>
        <v>Difícil</v>
      </c>
      <c r="C86" s="23" t="str">
        <f aca="false">Instrucoes!$B$7</f>
        <v>Claude</v>
      </c>
      <c r="D86" s="23" t="n">
        <v>2</v>
      </c>
      <c r="E86" s="24" t="s">
        <v>130</v>
      </c>
      <c r="F86" s="24" t="s">
        <v>12</v>
      </c>
      <c r="G86" s="24" t="s">
        <v>104</v>
      </c>
      <c r="H86" s="25" t="n">
        <v>1</v>
      </c>
      <c r="I86" s="24" t="s">
        <v>98</v>
      </c>
      <c r="J86" s="24" t="s">
        <v>98</v>
      </c>
      <c r="K86" s="24" t="s">
        <v>100</v>
      </c>
      <c r="L86" s="24" t="s">
        <v>100</v>
      </c>
      <c r="M86" s="26" t="n">
        <v>8.77</v>
      </c>
      <c r="N86" s="25" t="n">
        <v>23</v>
      </c>
      <c r="O86" s="26" t="n">
        <v>39.05</v>
      </c>
      <c r="P86" s="25" t="n">
        <v>66</v>
      </c>
      <c r="Q86" s="27" t="n">
        <v>0</v>
      </c>
      <c r="R86" s="24" t="s">
        <v>105</v>
      </c>
      <c r="S86" s="28" t="n">
        <v>0.214</v>
      </c>
      <c r="T86" s="24" t="s">
        <v>169</v>
      </c>
    </row>
    <row r="87" customFormat="false" ht="15" hidden="false" customHeight="true" outlineLevel="0" collapsed="false">
      <c r="A87" s="23" t="n">
        <f aca="false">IF(Problemas!$B$18="","",Problemas!$B$18)</f>
        <v>1092</v>
      </c>
      <c r="B87" s="23" t="str">
        <f aca="false">IF(Problemas!$D$18="","",Problemas!$D$18)</f>
        <v>Difícil</v>
      </c>
      <c r="C87" s="23" t="str">
        <f aca="false">Instrucoes!$B$5</f>
        <v>ChatGPT</v>
      </c>
      <c r="D87" s="23" t="n">
        <v>2</v>
      </c>
      <c r="E87" s="24" t="s">
        <v>130</v>
      </c>
      <c r="F87" s="24" t="s">
        <v>5</v>
      </c>
      <c r="G87" s="24" t="s">
        <v>97</v>
      </c>
      <c r="H87" s="25"/>
      <c r="I87" s="24" t="s">
        <v>106</v>
      </c>
      <c r="J87" s="24" t="s">
        <v>99</v>
      </c>
      <c r="K87" s="24" t="s">
        <v>99</v>
      </c>
      <c r="L87" s="24" t="s">
        <v>115</v>
      </c>
      <c r="M87" s="26" t="n">
        <v>9</v>
      </c>
      <c r="N87" s="25" t="n">
        <v>25</v>
      </c>
      <c r="O87" s="26" t="n">
        <v>57.2</v>
      </c>
      <c r="P87" s="25" t="n">
        <v>73</v>
      </c>
      <c r="Q87" s="27" t="n">
        <v>0.131</v>
      </c>
      <c r="R87" s="24" t="s">
        <v>105</v>
      </c>
      <c r="S87" s="28"/>
      <c r="T87" s="24" t="s">
        <v>170</v>
      </c>
    </row>
    <row r="88" customFormat="false" ht="15" hidden="false" customHeight="true" outlineLevel="0" collapsed="false">
      <c r="A88" s="23" t="n">
        <f aca="false">IF(Problemas!$B$18="","",Problemas!$B$18)</f>
        <v>1092</v>
      </c>
      <c r="B88" s="23" t="str">
        <f aca="false">IF(Problemas!$D$18="","",Problemas!$D$18)</f>
        <v>Difícil</v>
      </c>
      <c r="C88" s="23" t="str">
        <f aca="false">Instrucoes!$B$6</f>
        <v>Gemini</v>
      </c>
      <c r="D88" s="23" t="n">
        <v>2</v>
      </c>
      <c r="E88" s="24" t="s">
        <v>130</v>
      </c>
      <c r="F88" s="24" t="s">
        <v>9</v>
      </c>
      <c r="G88" s="24" t="s">
        <v>97</v>
      </c>
      <c r="H88" s="25"/>
      <c r="I88" s="24" t="s">
        <v>106</v>
      </c>
      <c r="J88" s="24" t="s">
        <v>115</v>
      </c>
      <c r="K88" s="24" t="s">
        <v>115</v>
      </c>
      <c r="L88" s="24" t="s">
        <v>99</v>
      </c>
      <c r="M88" s="26" t="n">
        <v>5.6</v>
      </c>
      <c r="N88" s="25" t="n">
        <v>23</v>
      </c>
      <c r="O88" s="26" t="n">
        <v>62.13</v>
      </c>
      <c r="P88" s="25" t="n">
        <v>50</v>
      </c>
      <c r="Q88" s="27" t="n">
        <v>0.1525</v>
      </c>
      <c r="R88" s="24" t="s">
        <v>105</v>
      </c>
      <c r="S88" s="28"/>
      <c r="T88" s="24" t="s">
        <v>171</v>
      </c>
    </row>
    <row r="89" customFormat="false" ht="15" hidden="false" customHeight="true" outlineLevel="0" collapsed="false">
      <c r="A89" s="23" t="n">
        <f aca="false">IF(Problemas!$B$18="","",Problemas!$B$18)</f>
        <v>1092</v>
      </c>
      <c r="B89" s="23" t="str">
        <f aca="false">IF(Problemas!$D$18="","",Problemas!$D$18)</f>
        <v>Difícil</v>
      </c>
      <c r="C89" s="23" t="str">
        <f aca="false">Instrucoes!$B$7</f>
        <v>Claude</v>
      </c>
      <c r="D89" s="23" t="n">
        <v>2</v>
      </c>
      <c r="E89" s="24" t="s">
        <v>130</v>
      </c>
      <c r="F89" s="24" t="s">
        <v>12</v>
      </c>
      <c r="G89" s="24" t="s">
        <v>97</v>
      </c>
      <c r="H89" s="25"/>
      <c r="I89" s="24" t="s">
        <v>106</v>
      </c>
      <c r="J89" s="24" t="s">
        <v>118</v>
      </c>
      <c r="K89" s="24" t="s">
        <v>115</v>
      </c>
      <c r="L89" s="24" t="s">
        <v>99</v>
      </c>
      <c r="M89" s="26" t="n">
        <v>8.04</v>
      </c>
      <c r="N89" s="25" t="n">
        <v>11</v>
      </c>
      <c r="O89" s="26" t="n">
        <v>50.82</v>
      </c>
      <c r="P89" s="25" t="n">
        <v>44</v>
      </c>
      <c r="Q89" s="27" t="n">
        <v>0.0222</v>
      </c>
      <c r="R89" s="24" t="s">
        <v>105</v>
      </c>
      <c r="S89" s="28"/>
      <c r="T89" s="24" t="s">
        <v>172</v>
      </c>
    </row>
    <row r="90" customFormat="false" ht="15" hidden="false" customHeight="true" outlineLevel="0" collapsed="false">
      <c r="A90" s="23" t="n">
        <f aca="false">IF(Problemas!$B$19="","",Problemas!$B$19)</f>
        <v>1141</v>
      </c>
      <c r="B90" s="23" t="str">
        <f aca="false">IF(Problemas!$D$19="","",Problemas!$D$19)</f>
        <v>Difícil</v>
      </c>
      <c r="C90" s="23" t="str">
        <f aca="false">Instrucoes!$B$5</f>
        <v>ChatGPT</v>
      </c>
      <c r="D90" s="23" t="n">
        <v>2</v>
      </c>
      <c r="E90" s="24" t="s">
        <v>130</v>
      </c>
      <c r="F90" s="24" t="s">
        <v>5</v>
      </c>
      <c r="G90" s="24" t="s">
        <v>97</v>
      </c>
      <c r="H90" s="25"/>
      <c r="I90" s="24" t="s">
        <v>106</v>
      </c>
      <c r="J90" s="24" t="s">
        <v>118</v>
      </c>
      <c r="K90" s="24" t="s">
        <v>115</v>
      </c>
      <c r="L90" s="24" t="s">
        <v>115</v>
      </c>
      <c r="M90" s="26" t="n">
        <v>9.62</v>
      </c>
      <c r="N90" s="25" t="n">
        <v>32</v>
      </c>
      <c r="O90" s="26" t="n">
        <v>39.28</v>
      </c>
      <c r="P90" s="25" t="n">
        <v>162</v>
      </c>
      <c r="Q90" s="27" t="n">
        <v>0.0526</v>
      </c>
      <c r="R90" s="24" t="s">
        <v>105</v>
      </c>
      <c r="S90" s="28"/>
      <c r="T90" s="24" t="s">
        <v>173</v>
      </c>
    </row>
    <row r="91" customFormat="false" ht="15" hidden="false" customHeight="true" outlineLevel="0" collapsed="false">
      <c r="A91" s="23" t="n">
        <f aca="false">IF(Problemas!$B$19="","",Problemas!$B$19)</f>
        <v>1141</v>
      </c>
      <c r="B91" s="23" t="str">
        <f aca="false">IF(Problemas!$D$19="","",Problemas!$D$19)</f>
        <v>Difícil</v>
      </c>
      <c r="C91" s="23" t="str">
        <f aca="false">Instrucoes!$B$6</f>
        <v>Gemini</v>
      </c>
      <c r="D91" s="23" t="n">
        <v>2</v>
      </c>
      <c r="E91" s="24" t="s">
        <v>130</v>
      </c>
      <c r="F91" s="24" t="s">
        <v>9</v>
      </c>
      <c r="G91" s="24" t="s">
        <v>97</v>
      </c>
      <c r="H91" s="25"/>
      <c r="I91" s="24" t="s">
        <v>106</v>
      </c>
      <c r="J91" s="24" t="s">
        <v>115</v>
      </c>
      <c r="K91" s="24" t="s">
        <v>99</v>
      </c>
      <c r="L91" s="24" t="s">
        <v>99</v>
      </c>
      <c r="M91" s="26" t="n">
        <v>6.67</v>
      </c>
      <c r="N91" s="25" t="n">
        <v>11</v>
      </c>
      <c r="O91" s="26" t="n">
        <v>66.04</v>
      </c>
      <c r="P91" s="25" t="n">
        <v>33</v>
      </c>
      <c r="Q91" s="27" t="n">
        <v>0.0833</v>
      </c>
      <c r="R91" s="24" t="s">
        <v>105</v>
      </c>
      <c r="S91" s="28"/>
      <c r="T91" s="24" t="s">
        <v>174</v>
      </c>
    </row>
    <row r="92" customFormat="false" ht="15" hidden="false" customHeight="true" outlineLevel="0" collapsed="false">
      <c r="A92" s="23" t="n">
        <f aca="false">IF(Problemas!$B$19="","",Problemas!$B$19)</f>
        <v>1141</v>
      </c>
      <c r="B92" s="23" t="str">
        <f aca="false">IF(Problemas!$D$19="","",Problemas!$D$19)</f>
        <v>Difícil</v>
      </c>
      <c r="C92" s="23" t="str">
        <f aca="false">Instrucoes!$B$7</f>
        <v>Claude</v>
      </c>
      <c r="D92" s="23" t="n">
        <v>2</v>
      </c>
      <c r="E92" s="24" t="s">
        <v>130</v>
      </c>
      <c r="F92" s="24" t="s">
        <v>12</v>
      </c>
      <c r="G92" s="24" t="s">
        <v>97</v>
      </c>
      <c r="H92" s="25"/>
      <c r="I92" s="24" t="s">
        <v>106</v>
      </c>
      <c r="J92" s="24" t="s">
        <v>115</v>
      </c>
      <c r="K92" s="24" t="s">
        <v>115</v>
      </c>
      <c r="L92" s="24" t="s">
        <v>128</v>
      </c>
      <c r="M92" s="26" t="n">
        <v>8.33</v>
      </c>
      <c r="N92" s="25" t="n">
        <v>22</v>
      </c>
      <c r="O92" s="26" t="n">
        <v>47.71</v>
      </c>
      <c r="P92" s="25" t="n">
        <v>90</v>
      </c>
      <c r="Q92" s="27" t="n">
        <v>0.0426</v>
      </c>
      <c r="R92" s="24" t="s">
        <v>105</v>
      </c>
      <c r="S92" s="28"/>
      <c r="T92" s="24" t="s">
        <v>175</v>
      </c>
    </row>
  </sheetData>
  <dataValidations count="4">
    <dataValidation allowBlank="true" errorStyle="stop" operator="between" showDropDown="false" showErrorMessage="false" showInputMessage="false" sqref="G3:G92" type="list">
      <formula1>"Sim,Não"</formula1>
      <formula2>0</formula2>
    </dataValidation>
    <dataValidation allowBlank="true" errorStyle="stop" operator="between" showDropDown="false" showErrorMessage="false" showInputMessage="false" sqref="I3:I92" type="list">
      <formula1>"Accepted,Falha"</formula1>
      <formula2>0</formula2>
    </dataValidation>
    <dataValidation allowBlank="true" errorStyle="stop" operator="between" showDropDown="false" showErrorMessage="false" showInputMessage="false" sqref="J3:L92" type="list">
      <formula1>"Accepted,Wrong Answer,Time Limit Exceeded,Runtime Error,Compilation Error,Presentation Error,Memory Limit Exceeded,Não extraível,-"</formula1>
      <formula2>0</formula2>
    </dataValidation>
    <dataValidation allowBlank="true" errorStyle="stop" operator="between" showDropDown="false" showErrorMessage="false" showInputMessage="false" sqref="R3:R92" type="list">
      <formula1>"script linear,com funções"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6"/>
    <col collapsed="false" customWidth="true" hidden="false" outlineLevel="0" max="4" min="2" style="1" width="16"/>
    <col collapsed="false" customWidth="true" hidden="false" outlineLevel="0" max="12" min="5" style="1" width="12"/>
  </cols>
  <sheetData>
    <row r="1" customFormat="false" ht="17.25" hidden="false" customHeight="true" outlineLevel="0" collapsed="false">
      <c r="A1" s="2" t="s">
        <v>176</v>
      </c>
    </row>
    <row r="2" customFormat="false" ht="15" hidden="false" customHeight="true" outlineLevel="0" collapsed="false">
      <c r="A2" s="3" t="s">
        <v>177</v>
      </c>
    </row>
    <row r="4" customFormat="false" ht="15" hidden="false" customHeight="true" outlineLevel="0" collapsed="false">
      <c r="A4" s="29" t="s">
        <v>178</v>
      </c>
      <c r="B4" s="7" t="str">
        <f aca="false">Instrucoes!$B$5</f>
        <v>ChatGPT</v>
      </c>
      <c r="C4" s="7" t="str">
        <f aca="false">Instrucoes!$B$6</f>
        <v>Gemini</v>
      </c>
      <c r="D4" s="7" t="str">
        <f aca="false">Instrucoes!$B$7</f>
        <v>Claude</v>
      </c>
    </row>
    <row r="5" customFormat="false" ht="15" hidden="false" customHeight="true" outlineLevel="0" collapsed="false">
      <c r="A5" s="9" t="s">
        <v>179</v>
      </c>
      <c r="B5" s="30" t="n">
        <f aca="false">COUNTIFS(Coleta!$C$3:$C$92,B$4,Coleta!$I$3:$I$92,"&lt;&gt;")</f>
        <v>30</v>
      </c>
      <c r="C5" s="30" t="n">
        <f aca="false">COUNTIFS(Coleta!$C$3:$C$92,C$4,Coleta!$I$3:$I$92,"&lt;&gt;")</f>
        <v>30</v>
      </c>
      <c r="D5" s="30" t="n">
        <f aca="false">COUNTIFS(Coleta!$C$3:$C$92,D$4,Coleta!$I$3:$I$92,"&lt;&gt;")</f>
        <v>30</v>
      </c>
    </row>
    <row r="6" customFormat="false" ht="15" hidden="false" customHeight="true" outlineLevel="0" collapsed="false">
      <c r="A6" s="9" t="s">
        <v>180</v>
      </c>
      <c r="B6" s="31" t="n">
        <f aca="false">IFERROR(COUNTIFS(Coleta!$C$3:$C$92,B$4,Coleta!$G$3:$G$92,"Sim")/COUNTIFS(Coleta!$C$3:$C$92,B$4,Coleta!$G$3:$G$92,"&lt;&gt;"),"")</f>
        <v>0.566666666666667</v>
      </c>
      <c r="C6" s="31" t="n">
        <f aca="false">IFERROR(COUNTIFS(Coleta!$C$3:$C$92,C$4,Coleta!$G$3:$G$92,"Sim")/COUNTIFS(Coleta!$C$3:$C$92,C$4,Coleta!$G$3:$G$92,"&lt;&gt;"),"")</f>
        <v>0.7</v>
      </c>
      <c r="D6" s="31" t="n">
        <f aca="false">IFERROR(COUNTIFS(Coleta!$C$3:$C$92,D$4,Coleta!$G$3:$G$92,"Sim")/COUNTIFS(Coleta!$C$3:$C$92,D$4,Coleta!$G$3:$G$92,"&lt;&gt;"),"")</f>
        <v>0.8</v>
      </c>
    </row>
    <row r="7" customFormat="false" ht="15" hidden="false" customHeight="true" outlineLevel="0" collapsed="false">
      <c r="A7" s="9" t="s">
        <v>181</v>
      </c>
      <c r="B7" s="31" t="n">
        <f aca="false">IFERROR(COUNTIFS(Coleta!$C$3:$C$92,B$4,Coleta!$I$3:$I$92,"Accepted")/COUNTIFS(Coleta!$C$3:$C$92,B$4,Coleta!$I$3:$I$92,"&lt;&gt;"),"")</f>
        <v>0.7</v>
      </c>
      <c r="C7" s="31" t="n">
        <f aca="false">IFERROR(COUNTIFS(Coleta!$C$3:$C$92,C$4,Coleta!$I$3:$I$92,"Accepted")/COUNTIFS(Coleta!$C$3:$C$92,C$4,Coleta!$I$3:$I$92,"&lt;&gt;"),"")</f>
        <v>0.8</v>
      </c>
      <c r="D7" s="31" t="n">
        <f aca="false">IFERROR(COUNTIFS(Coleta!$C$3:$C$92,D$4,Coleta!$I$3:$I$92,"Accepted")/COUNTIFS(Coleta!$C$3:$C$92,D$4,Coleta!$I$3:$I$92,"&lt;&gt;"),"")</f>
        <v>0.8</v>
      </c>
    </row>
    <row r="8" customFormat="false" ht="15" hidden="false" customHeight="true" outlineLevel="0" collapsed="false">
      <c r="A8" s="9" t="s">
        <v>182</v>
      </c>
      <c r="B8" s="31" t="n">
        <f aca="false">IFERROR(COUNTIFS(Coleta!$C$3:$C$92,B$4,Coleta!$G$3:$G$92,"Não",Coleta!$I$3:$I$92,"Accepted",Coleta!$J$3:$J$92,"&lt;&gt;Não extraível")/COUNTIFS(Coleta!$C$3:$C$92,B$4,Coleta!$G$3:$G$92,"Não",Coleta!$J$3:$J$92,"&lt;&gt;Não extraível"),"")</f>
        <v>0.307692307692308</v>
      </c>
      <c r="C8" s="31" t="n">
        <f aca="false">IFERROR(COUNTIFS(Coleta!$C$3:$C$92,C$4,Coleta!$G$3:$G$92,"Não",Coleta!$I$3:$I$92,"Accepted",Coleta!$J$3:$J$92,"&lt;&gt;Não extraível")/COUNTIFS(Coleta!$C$3:$C$92,C$4,Coleta!$G$3:$G$92,"Não",Coleta!$J$3:$J$92,"&lt;&gt;Não extraível"),"")</f>
        <v>0.333333333333333</v>
      </c>
      <c r="D8" s="31" t="n">
        <f aca="false">IFERROR(COUNTIFS(Coleta!$C$3:$C$92,D$4,Coleta!$G$3:$G$92,"Não",Coleta!$I$3:$I$92,"Accepted",Coleta!$J$3:$J$92,"&lt;&gt;Não extraível")/COUNTIFS(Coleta!$C$3:$C$92,D$4,Coleta!$G$3:$G$92,"Não",Coleta!$J$3:$J$92,"&lt;&gt;Não extraível"),"")</f>
        <v>0</v>
      </c>
    </row>
    <row r="9" customFormat="false" ht="15" hidden="false" customHeight="true" outlineLevel="0" collapsed="false">
      <c r="A9" s="9" t="s">
        <v>183</v>
      </c>
      <c r="B9" s="31" t="n">
        <f aca="false">IFERROR(AVERAGE(J41:J85),"")</f>
        <v>0.8</v>
      </c>
      <c r="C9" s="31" t="n">
        <f aca="false">IFERROR(AVERAGE(K41:K85),"")</f>
        <v>0.933333333333333</v>
      </c>
      <c r="D9" s="31" t="n">
        <f aca="false">IFERROR(AVERAGE(L41:L85),"")</f>
        <v>1</v>
      </c>
    </row>
    <row r="10" customFormat="false" ht="15" hidden="false" customHeight="true" outlineLevel="0" collapsed="false">
      <c r="A10" s="9" t="s">
        <v>184</v>
      </c>
      <c r="B10" s="32" t="n">
        <f aca="false">IFERROR(AVERAGEIFS(Coleta!$H$3:$H$92,Coleta!$C$3:$C$92,B$4),"")</f>
        <v>1.23809523809524</v>
      </c>
      <c r="C10" s="32" t="n">
        <f aca="false">IFERROR(AVERAGEIFS(Coleta!$H$3:$H$92,Coleta!$C$3:$C$92,C$4),"")</f>
        <v>1.125</v>
      </c>
      <c r="D10" s="32" t="n">
        <f aca="false">IFERROR(AVERAGEIFS(Coleta!$H$3:$H$92,Coleta!$C$3:$C$92,D$4),"")</f>
        <v>1</v>
      </c>
    </row>
    <row r="11" customFormat="false" ht="15" hidden="false" customHeight="true" outlineLevel="0" collapsed="false">
      <c r="A11" s="9" t="s">
        <v>185</v>
      </c>
      <c r="B11" s="32" t="n">
        <f aca="false">IFERROR(AVERAGEIFS(Coleta!$M$3:$M$92,Coleta!$C$3:$C$92,B$4),"")</f>
        <v>9.366</v>
      </c>
      <c r="C11" s="32" t="n">
        <f aca="false">IFERROR(AVERAGEIFS(Coleta!$M$3:$M$92,Coleta!$C$3:$C$92,C$4),"")</f>
        <v>7.25933333333333</v>
      </c>
      <c r="D11" s="32" t="n">
        <f aca="false">IFERROR(AVERAGEIFS(Coleta!$M$3:$M$92,Coleta!$C$3:$C$92,D$4),"")</f>
        <v>8.81566666666667</v>
      </c>
    </row>
    <row r="12" customFormat="false" ht="15" hidden="false" customHeight="true" outlineLevel="0" collapsed="false">
      <c r="A12" s="9" t="s">
        <v>186</v>
      </c>
      <c r="B12" s="32" t="n">
        <f aca="false">IFERROR(STDEV(B41:B130),"")</f>
        <v>1.09837999831099</v>
      </c>
      <c r="C12" s="32" t="n">
        <f aca="false">IFERROR(STDEV(C41:C130),"")</f>
        <v>1.15757455508261</v>
      </c>
      <c r="D12" s="32" t="n">
        <f aca="false">IFERROR(STDEV(D41:D130),"")</f>
        <v>0.742273689339086</v>
      </c>
    </row>
    <row r="13" customFormat="false" ht="15" hidden="false" customHeight="true" outlineLevel="0" collapsed="false">
      <c r="A13" s="9" t="s">
        <v>187</v>
      </c>
      <c r="B13" s="32" t="n">
        <f aca="false">IFERROR(AVERAGEIFS(Coleta!$N$3:$N$92,Coleta!$C$3:$C$92,B$4),"")</f>
        <v>11.1333333333333</v>
      </c>
      <c r="C13" s="32" t="n">
        <f aca="false">IFERROR(AVERAGEIFS(Coleta!$N$3:$N$92,Coleta!$C$3:$C$92,C$4),"")</f>
        <v>10.8</v>
      </c>
      <c r="D13" s="32" t="n">
        <f aca="false">IFERROR(AVERAGEIFS(Coleta!$N$3:$N$92,Coleta!$C$3:$C$92,D$4),"")</f>
        <v>9.46666666666667</v>
      </c>
    </row>
    <row r="14" customFormat="false" ht="15" hidden="false" customHeight="true" outlineLevel="0" collapsed="false">
      <c r="A14" s="9" t="s">
        <v>188</v>
      </c>
      <c r="B14" s="32" t="n">
        <f aca="false">IFERROR(STDEV(F41:F130),"")</f>
        <v>9.36145189643121</v>
      </c>
      <c r="C14" s="32" t="n">
        <f aca="false">IFERROR(STDEV(G41:G130),"")</f>
        <v>6.18340381655773</v>
      </c>
      <c r="D14" s="32" t="n">
        <f aca="false">IFERROR(STDEV(H41:H130),"")</f>
        <v>6.16851478985369</v>
      </c>
    </row>
    <row r="15" customFormat="false" ht="15" hidden="false" customHeight="true" outlineLevel="0" collapsed="false">
      <c r="A15" s="9" t="s">
        <v>189</v>
      </c>
      <c r="B15" s="32" t="n">
        <f aca="false">IFERROR(AVERAGEIFS(Coleta!$O$3:$O$92,Coleta!$C$3:$C$92,B$4),"")</f>
        <v>59.1436666666667</v>
      </c>
      <c r="C15" s="32" t="n">
        <f aca="false">IFERROR(AVERAGEIFS(Coleta!$O$3:$O$92,Coleta!$C$3:$C$92,C$4),"")</f>
        <v>57.6556666666667</v>
      </c>
      <c r="D15" s="32" t="n">
        <f aca="false">IFERROR(AVERAGEIFS(Coleta!$O$3:$O$92,Coleta!$C$3:$C$92,D$4),"")</f>
        <v>54.0293333333333</v>
      </c>
    </row>
    <row r="16" customFormat="false" ht="15" hidden="false" customHeight="true" outlineLevel="0" collapsed="false">
      <c r="A16" s="9" t="s">
        <v>190</v>
      </c>
      <c r="B16" s="33" t="n">
        <f aca="false">IFERROR(AVERAGEIFS(Coleta!$P$3:$P$92,Coleta!$C$3:$C$92,B$4),"")</f>
        <v>33.9333333333333</v>
      </c>
      <c r="C16" s="33" t="n">
        <f aca="false">IFERROR(AVERAGEIFS(Coleta!$P$3:$P$92,Coleta!$C$3:$C$92,C$4),"")</f>
        <v>32.1666666666667</v>
      </c>
      <c r="D16" s="33" t="n">
        <f aca="false">IFERROR(AVERAGEIFS(Coleta!$P$3:$P$92,Coleta!$C$3:$C$92,D$4),"")</f>
        <v>33.6</v>
      </c>
    </row>
    <row r="17" customFormat="false" ht="15" hidden="false" customHeight="true" outlineLevel="0" collapsed="false">
      <c r="A17" s="9" t="s">
        <v>191</v>
      </c>
      <c r="B17" s="31" t="n">
        <f aca="false">IFERROR(AVERAGEIFS(Coleta!$Q$3:$Q$92,Coleta!$C$3:$C$92,B$4),"")</f>
        <v>0.02157</v>
      </c>
      <c r="C17" s="31" t="n">
        <f aca="false">IFERROR(AVERAGEIFS(Coleta!$Q$3:$Q$92,Coleta!$C$3:$C$92,C$4),"")</f>
        <v>0.03543</v>
      </c>
      <c r="D17" s="31" t="n">
        <f aca="false">IFERROR(AVERAGEIFS(Coleta!$Q$3:$Q$92,Coleta!$C$3:$C$92,D$4),"")</f>
        <v>0.00544666666666667</v>
      </c>
    </row>
    <row r="18" customFormat="false" ht="15" hidden="false" customHeight="true" outlineLevel="0" collapsed="false">
      <c r="A18" s="9" t="s">
        <v>192</v>
      </c>
      <c r="B18" s="31" t="n">
        <f aca="false">IFERROR(COUNTIFS(Coleta!$C$3:$C$92,B$4,Coleta!$R$3:$R$92,"script linear")/COUNTIFS(Coleta!$C$3:$C$92,B$4,Coleta!$R$3:$R$92,"&lt;&gt;"),"")</f>
        <v>0.466666666666667</v>
      </c>
      <c r="C18" s="31" t="n">
        <f aca="false">IFERROR(COUNTIFS(Coleta!$C$3:$C$92,C$4,Coleta!$R$3:$R$92,"script linear")/COUNTIFS(Coleta!$C$3:$C$92,C$4,Coleta!$R$3:$R$92,"&lt;&gt;"),"")</f>
        <v>0</v>
      </c>
      <c r="D18" s="31" t="n">
        <f aca="false">IFERROR(COUNTIFS(Coleta!$C$3:$C$92,D$4,Coleta!$R$3:$R$92,"script linear")/COUNTIFS(Coleta!$C$3:$C$92,D$4,Coleta!$R$3:$R$92,"&lt;&gt;"),"")</f>
        <v>0.0666666666666667</v>
      </c>
    </row>
    <row r="19" customFormat="false" ht="15" hidden="false" customHeight="true" outlineLevel="0" collapsed="false">
      <c r="A19" s="9" t="s">
        <v>193</v>
      </c>
      <c r="B19" s="34" t="n">
        <f aca="false">IFERROR(AVERAGEIFS(Coleta!$S$3:$S$92,Coleta!$C$3:$C$92,B$4),"")</f>
        <v>0.123333333333333</v>
      </c>
      <c r="C19" s="34" t="n">
        <f aca="false">IFERROR(AVERAGEIFS(Coleta!$S$3:$S$92,Coleta!$C$3:$C$92,C$4),"")</f>
        <v>0.0454583333333333</v>
      </c>
      <c r="D19" s="34" t="n">
        <f aca="false">IFERROR(AVERAGEIFS(Coleta!$S$3:$S$92,Coleta!$C$3:$C$92,D$4),"")</f>
        <v>0.115625</v>
      </c>
    </row>
    <row r="20" customFormat="false" ht="15" hidden="false" customHeight="true" outlineLevel="0" collapsed="false">
      <c r="A20" s="9" t="s">
        <v>194</v>
      </c>
      <c r="B20" s="34" t="n">
        <f aca="false">COUNTIFS(Coleta!$C$3:$C$92,B$4,Coleta!$J$3:$J$92,"Não extraível")</f>
        <v>0</v>
      </c>
      <c r="C20" s="34" t="n">
        <f aca="false">COUNTIFS(Coleta!$C$3:$C$92,C$4,Coleta!$J$3:$J$92,"Não extraível")</f>
        <v>0</v>
      </c>
      <c r="D20" s="34" t="n">
        <f aca="false">COUNTIFS(Coleta!$C$3:$C$92,D$4,Coleta!$J$3:$J$92,"Não extraível")</f>
        <v>0</v>
      </c>
    </row>
    <row r="22" customFormat="false" ht="15" hidden="false" customHeight="true" outlineLevel="0" collapsed="false">
      <c r="A22" s="4" t="s">
        <v>195</v>
      </c>
    </row>
    <row r="23" customFormat="false" ht="15" hidden="false" customHeight="true" outlineLevel="0" collapsed="false">
      <c r="A23" s="29" t="s">
        <v>36</v>
      </c>
      <c r="B23" s="7" t="str">
        <f aca="false">B$4</f>
        <v>ChatGPT</v>
      </c>
      <c r="C23" s="7" t="str">
        <f aca="false">C$4</f>
        <v>Gemini</v>
      </c>
      <c r="D23" s="7" t="str">
        <f aca="false">D$4</f>
        <v>Claude</v>
      </c>
    </row>
    <row r="24" customFormat="false" ht="15" hidden="false" customHeight="true" outlineLevel="0" collapsed="false">
      <c r="A24" s="35" t="s">
        <v>41</v>
      </c>
      <c r="B24" s="31" t="n">
        <f aca="false">IFERROR(COUNTIFS(Coleta!$C$3:$C$92,B$4,Coleta!$B$3:$B$92,$A24,Coleta!$I$3:$I$92,"Accepted")/COUNTIFS(Coleta!$C$3:$C$92,B$4,Coleta!$B$3:$B$92,$A24,Coleta!$I$3:$I$92,"&lt;&gt;"),"")</f>
        <v>0.8</v>
      </c>
      <c r="C24" s="31" t="n">
        <f aca="false">IFERROR(COUNTIFS(Coleta!$C$3:$C$92,C$4,Coleta!$B$3:$B$92,$A24,Coleta!$I$3:$I$92,"Accepted")/COUNTIFS(Coleta!$C$3:$C$92,C$4,Coleta!$B$3:$B$92,$A24,Coleta!$I$3:$I$92,"&lt;&gt;"),"")</f>
        <v>1</v>
      </c>
      <c r="D24" s="31" t="n">
        <f aca="false">IFERROR(COUNTIFS(Coleta!$C$3:$C$92,D$4,Coleta!$B$3:$B$92,$A24,Coleta!$I$3:$I$92,"Accepted")/COUNTIFS(Coleta!$C$3:$C$92,D$4,Coleta!$B$3:$B$92,$A24,Coleta!$I$3:$I$92,"&lt;&gt;"),"")</f>
        <v>1</v>
      </c>
    </row>
    <row r="25" customFormat="false" ht="15" hidden="false" customHeight="true" outlineLevel="0" collapsed="false">
      <c r="A25" s="35" t="s">
        <v>55</v>
      </c>
      <c r="B25" s="31" t="n">
        <f aca="false">IFERROR(COUNTIFS(Coleta!$C$3:$C$92,B$4,Coleta!$B$3:$B$92,$A25,Coleta!$I$3:$I$92,"Accepted")/COUNTIFS(Coleta!$C$3:$C$92,B$4,Coleta!$B$3:$B$92,$A25,Coleta!$I$3:$I$92,"&lt;&gt;"),"")</f>
        <v>1</v>
      </c>
      <c r="C25" s="31" t="n">
        <f aca="false">IFERROR(COUNTIFS(Coleta!$C$3:$C$92,C$4,Coleta!$B$3:$B$92,$A25,Coleta!$I$3:$I$92,"Accepted")/COUNTIFS(Coleta!$C$3:$C$92,C$4,Coleta!$B$3:$B$92,$A25,Coleta!$I$3:$I$92,"&lt;&gt;"),"")</f>
        <v>1</v>
      </c>
      <c r="D25" s="31" t="n">
        <f aca="false">IFERROR(COUNTIFS(Coleta!$C$3:$C$92,D$4,Coleta!$B$3:$B$92,$A25,Coleta!$I$3:$I$92,"Accepted")/COUNTIFS(Coleta!$C$3:$C$92,D$4,Coleta!$B$3:$B$92,$A25,Coleta!$I$3:$I$92,"&lt;&gt;"),"")</f>
        <v>1</v>
      </c>
    </row>
    <row r="26" customFormat="false" ht="15" hidden="false" customHeight="true" outlineLevel="0" collapsed="false">
      <c r="A26" s="35" t="s">
        <v>67</v>
      </c>
      <c r="B26" s="31" t="n">
        <f aca="false">IFERROR(COUNTIFS(Coleta!$C$3:$C$92,B$4,Coleta!$B$3:$B$92,$A26,Coleta!$I$3:$I$92,"Accepted")/COUNTIFS(Coleta!$C$3:$C$92,B$4,Coleta!$B$3:$B$92,$A26,Coleta!$I$3:$I$92,"&lt;&gt;"),"")</f>
        <v>0.3</v>
      </c>
      <c r="C26" s="31" t="n">
        <f aca="false">IFERROR(COUNTIFS(Coleta!$C$3:$C$92,C$4,Coleta!$B$3:$B$92,$A26,Coleta!$I$3:$I$92,"Accepted")/COUNTIFS(Coleta!$C$3:$C$92,C$4,Coleta!$B$3:$B$92,$A26,Coleta!$I$3:$I$92,"&lt;&gt;"),"")</f>
        <v>0.4</v>
      </c>
      <c r="D26" s="31" t="n">
        <f aca="false">IFERROR(COUNTIFS(Coleta!$C$3:$C$92,D$4,Coleta!$B$3:$B$92,$A26,Coleta!$I$3:$I$92,"Accepted")/COUNTIFS(Coleta!$C$3:$C$92,D$4,Coleta!$B$3:$B$92,$A26,Coleta!$I$3:$I$92,"&lt;&gt;"),"")</f>
        <v>0.4</v>
      </c>
    </row>
    <row r="28" customFormat="false" ht="15" hidden="false" customHeight="true" outlineLevel="0" collapsed="false">
      <c r="A28" s="4" t="s">
        <v>196</v>
      </c>
    </row>
    <row r="29" customFormat="false" ht="15" hidden="false" customHeight="true" outlineLevel="0" collapsed="false">
      <c r="A29" s="29" t="s">
        <v>197</v>
      </c>
      <c r="B29" s="7" t="str">
        <f aca="false">B$4</f>
        <v>ChatGPT</v>
      </c>
      <c r="C29" s="7" t="str">
        <f aca="false">C$4</f>
        <v>Gemini</v>
      </c>
      <c r="D29" s="7" t="str">
        <f aca="false">D$4</f>
        <v>Claude</v>
      </c>
    </row>
    <row r="30" customFormat="false" ht="15" hidden="false" customHeight="true" outlineLevel="0" collapsed="false">
      <c r="A30" s="35" t="s">
        <v>98</v>
      </c>
      <c r="B30" s="30" t="n">
        <f aca="false">COUNTIFS(Coleta!$C$3:$C$92,B$4,Coleta!$J$3:$J$92,$A30)</f>
        <v>17</v>
      </c>
      <c r="C30" s="30" t="n">
        <f aca="false">COUNTIFS(Coleta!$C$3:$C$92,C$4,Coleta!$J$3:$J$92,$A30)</f>
        <v>21</v>
      </c>
      <c r="D30" s="30" t="n">
        <f aca="false">COUNTIFS(Coleta!$C$3:$C$92,D$4,Coleta!$J$3:$J$92,$A30)</f>
        <v>24</v>
      </c>
    </row>
    <row r="31" customFormat="false" ht="15" hidden="false" customHeight="true" outlineLevel="0" collapsed="false">
      <c r="A31" s="35" t="s">
        <v>99</v>
      </c>
      <c r="B31" s="30" t="n">
        <f aca="false">COUNTIFS(Coleta!$C$3:$C$92,B$4,Coleta!$J$3:$J$92,$A31)</f>
        <v>6</v>
      </c>
      <c r="C31" s="30" t="n">
        <f aca="false">COUNTIFS(Coleta!$C$3:$C$92,C$4,Coleta!$J$3:$J$92,$A31)</f>
        <v>2</v>
      </c>
      <c r="D31" s="30" t="n">
        <f aca="false">COUNTIFS(Coleta!$C$3:$C$92,D$4,Coleta!$J$3:$J$92,$A31)</f>
        <v>0</v>
      </c>
    </row>
    <row r="32" customFormat="false" ht="15" hidden="false" customHeight="true" outlineLevel="0" collapsed="false">
      <c r="A32" s="35" t="s">
        <v>115</v>
      </c>
      <c r="B32" s="30" t="n">
        <f aca="false">COUNTIFS(Coleta!$C$3:$C$92,B$4,Coleta!$J$3:$J$92,$A32)</f>
        <v>3</v>
      </c>
      <c r="C32" s="30" t="n">
        <f aca="false">COUNTIFS(Coleta!$C$3:$C$92,C$4,Coleta!$J$3:$J$92,$A32)</f>
        <v>7</v>
      </c>
      <c r="D32" s="30" t="n">
        <f aca="false">COUNTIFS(Coleta!$C$3:$C$92,D$4,Coleta!$J$3:$J$92,$A32)</f>
        <v>3</v>
      </c>
    </row>
    <row r="33" customFormat="false" ht="15" hidden="false" customHeight="true" outlineLevel="0" collapsed="false">
      <c r="A33" s="35" t="s">
        <v>118</v>
      </c>
      <c r="B33" s="30" t="n">
        <f aca="false">COUNTIFS(Coleta!$C$3:$C$92,B$4,Coleta!$J$3:$J$92,$A33)</f>
        <v>1</v>
      </c>
      <c r="C33" s="30" t="n">
        <f aca="false">COUNTIFS(Coleta!$C$3:$C$92,C$4,Coleta!$J$3:$J$92,$A33)</f>
        <v>0</v>
      </c>
      <c r="D33" s="30" t="n">
        <f aca="false">COUNTIFS(Coleta!$C$3:$C$92,D$4,Coleta!$J$3:$J$92,$A33)</f>
        <v>2</v>
      </c>
    </row>
    <row r="34" customFormat="false" ht="15" hidden="false" customHeight="true" outlineLevel="0" collapsed="false">
      <c r="A34" s="35" t="s">
        <v>198</v>
      </c>
      <c r="B34" s="30" t="n">
        <f aca="false">COUNTIFS(Coleta!$C$3:$C$92,B$4,Coleta!$J$3:$J$92,$A34)</f>
        <v>0</v>
      </c>
      <c r="C34" s="30" t="n">
        <f aca="false">COUNTIFS(Coleta!$C$3:$C$92,C$4,Coleta!$J$3:$J$92,$A34)</f>
        <v>0</v>
      </c>
      <c r="D34" s="30" t="n">
        <f aca="false">COUNTIFS(Coleta!$C$3:$C$92,D$4,Coleta!$J$3:$J$92,$A34)</f>
        <v>0</v>
      </c>
    </row>
    <row r="35" customFormat="false" ht="15" hidden="false" customHeight="true" outlineLevel="0" collapsed="false">
      <c r="A35" s="35" t="s">
        <v>107</v>
      </c>
      <c r="B35" s="30" t="n">
        <f aca="false">COUNTIFS(Coleta!$C$3:$C$92,B$4,Coleta!$J$3:$J$92,$A35)</f>
        <v>3</v>
      </c>
      <c r="C35" s="30" t="n">
        <f aca="false">COUNTIFS(Coleta!$C$3:$C$92,C$4,Coleta!$J$3:$J$92,$A35)</f>
        <v>0</v>
      </c>
      <c r="D35" s="30" t="n">
        <f aca="false">COUNTIFS(Coleta!$C$3:$C$92,D$4,Coleta!$J$3:$J$92,$A35)</f>
        <v>0</v>
      </c>
    </row>
    <row r="36" customFormat="false" ht="15" hidden="false" customHeight="true" outlineLevel="0" collapsed="false">
      <c r="A36" s="35" t="s">
        <v>128</v>
      </c>
      <c r="B36" s="30" t="n">
        <f aca="false">COUNTIFS(Coleta!$C$3:$C$92,B$4,Coleta!$J$3:$J$92,$A36)</f>
        <v>0</v>
      </c>
      <c r="C36" s="30" t="n">
        <f aca="false">COUNTIFS(Coleta!$C$3:$C$92,C$4,Coleta!$J$3:$J$92,$A36)</f>
        <v>0</v>
      </c>
      <c r="D36" s="30" t="n">
        <f aca="false">COUNTIFS(Coleta!$C$3:$C$92,D$4,Coleta!$J$3:$J$92,$A36)</f>
        <v>1</v>
      </c>
    </row>
    <row r="37" customFormat="false" ht="15" hidden="false" customHeight="true" outlineLevel="0" collapsed="false">
      <c r="A37" s="35" t="s">
        <v>126</v>
      </c>
      <c r="B37" s="30" t="n">
        <f aca="false">COUNTIFS(Coleta!$C$3:$C$92,B$4,Coleta!$J$3:$J$92,$A37)</f>
        <v>0</v>
      </c>
      <c r="C37" s="30" t="n">
        <f aca="false">COUNTIFS(Coleta!$C$3:$C$92,C$4,Coleta!$J$3:$J$92,$A37)</f>
        <v>0</v>
      </c>
      <c r="D37" s="30" t="n">
        <f aca="false">COUNTIFS(Coleta!$C$3:$C$92,D$4,Coleta!$J$3:$J$92,$A37)</f>
        <v>0</v>
      </c>
    </row>
    <row r="39" customFormat="false" ht="15" hidden="false" customHeight="true" outlineLevel="0" collapsed="false">
      <c r="A39" s="3" t="s">
        <v>199</v>
      </c>
    </row>
    <row r="40" customFormat="false" ht="15" hidden="false" customHeight="true" outlineLevel="0" collapsed="false">
      <c r="A40" s="3" t="s">
        <v>200</v>
      </c>
    </row>
    <row r="41" customFormat="false" ht="15" hidden="false" customHeight="true" outlineLevel="0" collapsed="false">
      <c r="B41" s="36" t="n">
        <f aca="false">IF(Coleta!$C3=B$4,IF(Coleta!$M3="","",Coleta!$M3),"")</f>
        <v>10</v>
      </c>
      <c r="C41" s="5" t="str">
        <f aca="false">IF(Coleta!$C3=C$4,IF(Coleta!$M3="","",Coleta!$M3),"")</f>
        <v/>
      </c>
      <c r="D41" s="5" t="str">
        <f aca="false">IF(Coleta!$C3=D$4,IF(Coleta!$M3="","",Coleta!$M3),"")</f>
        <v/>
      </c>
      <c r="F41" s="37" t="n">
        <f aca="false">IF(Coleta!$C3=B$4,IF(Coleta!$N3="","",Coleta!$N3),"")</f>
        <v>7</v>
      </c>
      <c r="G41" s="5" t="str">
        <f aca="false">IF(Coleta!$C3=C$4,IF(Coleta!$N3="","",Coleta!$N3),"")</f>
        <v/>
      </c>
      <c r="H41" s="5" t="str">
        <f aca="false">IF(Coleta!$C3=D$4,IF(Coleta!$N3="","",Coleta!$N3),"")</f>
        <v/>
      </c>
      <c r="J41" s="5" t="n">
        <f aca="false">IF(Coleta!$C3&lt;&gt;B$4,"",IF(OR(Coleta!$G3="",Coleta!$G48=""),"",IF(Coleta!$G3=Coleta!$G48,1,0)))</f>
        <v>1</v>
      </c>
      <c r="K41" s="5" t="str">
        <f aca="false">IF(Coleta!$C3&lt;&gt;C$4,"",IF(OR(Coleta!$G3="",Coleta!$G48=""),"",IF(Coleta!$G3=Coleta!$G48,1,0)))</f>
        <v/>
      </c>
      <c r="L41" s="5" t="str">
        <f aca="false">IF(Coleta!$C3&lt;&gt;D$4,"",IF(OR(Coleta!$G3="",Coleta!$G48=""),"",IF(Coleta!$G3=Coleta!$G48,1,0)))</f>
        <v/>
      </c>
    </row>
    <row r="42" customFormat="false" ht="15" hidden="false" customHeight="true" outlineLevel="0" collapsed="false">
      <c r="B42" s="5" t="str">
        <f aca="false">IF(Coleta!$C4=B$4,IF(Coleta!$M4="","",Coleta!$M4),"")</f>
        <v/>
      </c>
      <c r="C42" s="36" t="n">
        <f aca="false">IF(Coleta!$C4=C$4,IF(Coleta!$M4="","",Coleta!$M4),"")</f>
        <v>8.42</v>
      </c>
      <c r="D42" s="5" t="str">
        <f aca="false">IF(Coleta!$C4=D$4,IF(Coleta!$M4="","",Coleta!$M4),"")</f>
        <v/>
      </c>
      <c r="F42" s="5" t="str">
        <f aca="false">IF(Coleta!$C4=B$4,IF(Coleta!$N4="","",Coleta!$N4),"")</f>
        <v/>
      </c>
      <c r="G42" s="37" t="n">
        <f aca="false">IF(Coleta!$C4=C$4,IF(Coleta!$N4="","",Coleta!$N4),"")</f>
        <v>10</v>
      </c>
      <c r="H42" s="5" t="str">
        <f aca="false">IF(Coleta!$C4=D$4,IF(Coleta!$N4="","",Coleta!$N4),"")</f>
        <v/>
      </c>
      <c r="J42" s="5" t="str">
        <f aca="false">IF(Coleta!$C4&lt;&gt;B$4,"",IF(OR(Coleta!$G4="",Coleta!$G49=""),"",IF(Coleta!$G4=Coleta!$G49,1,0)))</f>
        <v/>
      </c>
      <c r="K42" s="5" t="n">
        <f aca="false">IF(Coleta!$C4&lt;&gt;C$4,"",IF(OR(Coleta!$G4="",Coleta!$G49=""),"",IF(Coleta!$G4=Coleta!$G49,1,0)))</f>
        <v>1</v>
      </c>
      <c r="L42" s="5" t="str">
        <f aca="false">IF(Coleta!$C4&lt;&gt;D$4,"",IF(OR(Coleta!$G4="",Coleta!$G49=""),"",IF(Coleta!$G4=Coleta!$G49,1,0)))</f>
        <v/>
      </c>
    </row>
    <row r="43" customFormat="false" ht="15" hidden="false" customHeight="true" outlineLevel="0" collapsed="false">
      <c r="B43" s="5" t="str">
        <f aca="false">IF(Coleta!$C5=B$4,IF(Coleta!$M5="","",Coleta!$M5),"")</f>
        <v/>
      </c>
      <c r="C43" s="5" t="str">
        <f aca="false">IF(Coleta!$C5=C$4,IF(Coleta!$M5="","",Coleta!$M5),"")</f>
        <v/>
      </c>
      <c r="D43" s="36" t="n">
        <f aca="false">IF(Coleta!$C5=D$4,IF(Coleta!$M5="","",Coleta!$M5),"")</f>
        <v>9.14</v>
      </c>
      <c r="F43" s="5" t="str">
        <f aca="false">IF(Coleta!$C5=B$4,IF(Coleta!$N5="","",Coleta!$N5),"")</f>
        <v/>
      </c>
      <c r="G43" s="5" t="str">
        <f aca="false">IF(Coleta!$C5=C$4,IF(Coleta!$N5="","",Coleta!$N5),"")</f>
        <v/>
      </c>
      <c r="H43" s="37" t="n">
        <f aca="false">IF(Coleta!$C5=D$4,IF(Coleta!$N5="","",Coleta!$N5),"")</f>
        <v>8</v>
      </c>
      <c r="J43" s="5" t="str">
        <f aca="false">IF(Coleta!$C5&lt;&gt;B$4,"",IF(OR(Coleta!$G5="",Coleta!$G50=""),"",IF(Coleta!$G5=Coleta!$G50,1,0)))</f>
        <v/>
      </c>
      <c r="K43" s="5" t="str">
        <f aca="false">IF(Coleta!$C5&lt;&gt;C$4,"",IF(OR(Coleta!$G5="",Coleta!$G50=""),"",IF(Coleta!$G5=Coleta!$G50,1,0)))</f>
        <v/>
      </c>
      <c r="L43" s="5" t="n">
        <f aca="false">IF(Coleta!$C5&lt;&gt;D$4,"",IF(OR(Coleta!$G5="",Coleta!$G50=""),"",IF(Coleta!$G5=Coleta!$G50,1,0)))</f>
        <v>1</v>
      </c>
    </row>
    <row r="44" customFormat="false" ht="15" hidden="false" customHeight="true" outlineLevel="0" collapsed="false">
      <c r="B44" s="36" t="n">
        <f aca="false">IF(Coleta!$C6=B$4,IF(Coleta!$M6="","",Coleta!$M6),"")</f>
        <v>10</v>
      </c>
      <c r="C44" s="5" t="str">
        <f aca="false">IF(Coleta!$C6=C$4,IF(Coleta!$M6="","",Coleta!$M6),"")</f>
        <v/>
      </c>
      <c r="D44" s="5" t="str">
        <f aca="false">IF(Coleta!$C6=D$4,IF(Coleta!$M6="","",Coleta!$M6),"")</f>
        <v/>
      </c>
      <c r="F44" s="37" t="n">
        <f aca="false">IF(Coleta!$C6=B$4,IF(Coleta!$N6="","",Coleta!$N6),"")</f>
        <v>4</v>
      </c>
      <c r="G44" s="5" t="str">
        <f aca="false">IF(Coleta!$C6=C$4,IF(Coleta!$N6="","",Coleta!$N6),"")</f>
        <v/>
      </c>
      <c r="H44" s="5" t="str">
        <f aca="false">IF(Coleta!$C6=D$4,IF(Coleta!$N6="","",Coleta!$N6),"")</f>
        <v/>
      </c>
      <c r="J44" s="5" t="n">
        <f aca="false">IF(Coleta!$C6&lt;&gt;B$4,"",IF(OR(Coleta!$G6="",Coleta!$G51=""),"",IF(Coleta!$G6=Coleta!$G51,1,0)))</f>
        <v>1</v>
      </c>
      <c r="K44" s="5" t="str">
        <f aca="false">IF(Coleta!$C6&lt;&gt;C$4,"",IF(OR(Coleta!$G6="",Coleta!$G51=""),"",IF(Coleta!$G6=Coleta!$G51,1,0)))</f>
        <v/>
      </c>
      <c r="L44" s="5" t="str">
        <f aca="false">IF(Coleta!$C6&lt;&gt;D$4,"",IF(OR(Coleta!$G6="",Coleta!$G51=""),"",IF(Coleta!$G6=Coleta!$G51,1,0)))</f>
        <v/>
      </c>
    </row>
    <row r="45" customFormat="false" ht="15" hidden="false" customHeight="true" outlineLevel="0" collapsed="false">
      <c r="B45" s="5" t="str">
        <f aca="false">IF(Coleta!$C7=B$4,IF(Coleta!$M7="","",Coleta!$M7),"")</f>
        <v/>
      </c>
      <c r="C45" s="36" t="n">
        <f aca="false">IF(Coleta!$C7=C$4,IF(Coleta!$M7="","",Coleta!$M7),"")</f>
        <v>8</v>
      </c>
      <c r="D45" s="5" t="str">
        <f aca="false">IF(Coleta!$C7=D$4,IF(Coleta!$M7="","",Coleta!$M7),"")</f>
        <v/>
      </c>
      <c r="F45" s="5" t="str">
        <f aca="false">IF(Coleta!$C7=B$4,IF(Coleta!$N7="","",Coleta!$N7),"")</f>
        <v/>
      </c>
      <c r="G45" s="37" t="n">
        <f aca="false">IF(Coleta!$C7=C$4,IF(Coleta!$N7="","",Coleta!$N7),"")</f>
        <v>6</v>
      </c>
      <c r="H45" s="5" t="str">
        <f aca="false">IF(Coleta!$C7=D$4,IF(Coleta!$N7="","",Coleta!$N7),"")</f>
        <v/>
      </c>
      <c r="J45" s="5" t="str">
        <f aca="false">IF(Coleta!$C7&lt;&gt;B$4,"",IF(OR(Coleta!$G7="",Coleta!$G52=""),"",IF(Coleta!$G7=Coleta!$G52,1,0)))</f>
        <v/>
      </c>
      <c r="K45" s="5" t="n">
        <f aca="false">IF(Coleta!$C7&lt;&gt;C$4,"",IF(OR(Coleta!$G7="",Coleta!$G52=""),"",IF(Coleta!$G7=Coleta!$G52,1,0)))</f>
        <v>1</v>
      </c>
      <c r="L45" s="5" t="str">
        <f aca="false">IF(Coleta!$C7&lt;&gt;D$4,"",IF(OR(Coleta!$G7="",Coleta!$G52=""),"",IF(Coleta!$G7=Coleta!$G52,1,0)))</f>
        <v/>
      </c>
    </row>
    <row r="46" customFormat="false" ht="15" hidden="false" customHeight="true" outlineLevel="0" collapsed="false">
      <c r="B46" s="5" t="str">
        <f aca="false">IF(Coleta!$C8=B$4,IF(Coleta!$M8="","",Coleta!$M8),"")</f>
        <v/>
      </c>
      <c r="C46" s="5" t="str">
        <f aca="false">IF(Coleta!$C8=C$4,IF(Coleta!$M8="","",Coleta!$M8),"")</f>
        <v/>
      </c>
      <c r="D46" s="36" t="n">
        <f aca="false">IF(Coleta!$C8=D$4,IF(Coleta!$M8="","",Coleta!$M8),"")</f>
        <v>8.12</v>
      </c>
      <c r="F46" s="5" t="str">
        <f aca="false">IF(Coleta!$C8=B$4,IF(Coleta!$N8="","",Coleta!$N8),"")</f>
        <v/>
      </c>
      <c r="G46" s="5" t="str">
        <f aca="false">IF(Coleta!$C8=C$4,IF(Coleta!$N8="","",Coleta!$N8),"")</f>
        <v/>
      </c>
      <c r="H46" s="37" t="n">
        <f aca="false">IF(Coleta!$C8=D$4,IF(Coleta!$N8="","",Coleta!$N8),"")</f>
        <v>5</v>
      </c>
      <c r="J46" s="5" t="str">
        <f aca="false">IF(Coleta!$C8&lt;&gt;B$4,"",IF(OR(Coleta!$G8="",Coleta!$G53=""),"",IF(Coleta!$G8=Coleta!$G53,1,0)))</f>
        <v/>
      </c>
      <c r="K46" s="5" t="str">
        <f aca="false">IF(Coleta!$C8&lt;&gt;C$4,"",IF(OR(Coleta!$G8="",Coleta!$G53=""),"",IF(Coleta!$G8=Coleta!$G53,1,0)))</f>
        <v/>
      </c>
      <c r="L46" s="5" t="n">
        <f aca="false">IF(Coleta!$C8&lt;&gt;D$4,"",IF(OR(Coleta!$G8="",Coleta!$G53=""),"",IF(Coleta!$G8=Coleta!$G53,1,0)))</f>
        <v>1</v>
      </c>
    </row>
    <row r="47" customFormat="false" ht="15" hidden="false" customHeight="true" outlineLevel="0" collapsed="false">
      <c r="B47" s="36" t="n">
        <f aca="false">IF(Coleta!$C9=B$4,IF(Coleta!$M9="","",Coleta!$M9),"")</f>
        <v>9.5</v>
      </c>
      <c r="C47" s="5" t="str">
        <f aca="false">IF(Coleta!$C9=C$4,IF(Coleta!$M9="","",Coleta!$M9),"")</f>
        <v/>
      </c>
      <c r="D47" s="5" t="str">
        <f aca="false">IF(Coleta!$C9=D$4,IF(Coleta!$M9="","",Coleta!$M9),"")</f>
        <v/>
      </c>
      <c r="F47" s="37" t="n">
        <f aca="false">IF(Coleta!$C9=B$4,IF(Coleta!$N9="","",Coleta!$N9),"")</f>
        <v>6</v>
      </c>
      <c r="G47" s="5" t="str">
        <f aca="false">IF(Coleta!$C9=C$4,IF(Coleta!$N9="","",Coleta!$N9),"")</f>
        <v/>
      </c>
      <c r="H47" s="5" t="str">
        <f aca="false">IF(Coleta!$C9=D$4,IF(Coleta!$N9="","",Coleta!$N9),"")</f>
        <v/>
      </c>
      <c r="J47" s="5" t="n">
        <f aca="false">IF(Coleta!$C9&lt;&gt;B$4,"",IF(OR(Coleta!$G9="",Coleta!$G54=""),"",IF(Coleta!$G9=Coleta!$G54,1,0)))</f>
        <v>1</v>
      </c>
      <c r="K47" s="5" t="str">
        <f aca="false">IF(Coleta!$C9&lt;&gt;C$4,"",IF(OR(Coleta!$G9="",Coleta!$G54=""),"",IF(Coleta!$G9=Coleta!$G54,1,0)))</f>
        <v/>
      </c>
      <c r="L47" s="5" t="str">
        <f aca="false">IF(Coleta!$C9&lt;&gt;D$4,"",IF(OR(Coleta!$G9="",Coleta!$G54=""),"",IF(Coleta!$G9=Coleta!$G54,1,0)))</f>
        <v/>
      </c>
    </row>
    <row r="48" customFormat="false" ht="15" hidden="false" customHeight="true" outlineLevel="0" collapsed="false">
      <c r="B48" s="5" t="str">
        <f aca="false">IF(Coleta!$C10=B$4,IF(Coleta!$M10="","",Coleta!$M10),"")</f>
        <v/>
      </c>
      <c r="C48" s="36" t="n">
        <f aca="false">IF(Coleta!$C10=C$4,IF(Coleta!$M10="","",Coleta!$M10),"")</f>
        <v>6.19</v>
      </c>
      <c r="D48" s="5" t="str">
        <f aca="false">IF(Coleta!$C10=D$4,IF(Coleta!$M10="","",Coleta!$M10),"")</f>
        <v/>
      </c>
      <c r="F48" s="5" t="str">
        <f aca="false">IF(Coleta!$C10=B$4,IF(Coleta!$N10="","",Coleta!$N10),"")</f>
        <v/>
      </c>
      <c r="G48" s="37" t="n">
        <f aca="false">IF(Coleta!$C10=C$4,IF(Coleta!$N10="","",Coleta!$N10),"")</f>
        <v>6</v>
      </c>
      <c r="H48" s="5" t="str">
        <f aca="false">IF(Coleta!$C10=D$4,IF(Coleta!$N10="","",Coleta!$N10),"")</f>
        <v/>
      </c>
      <c r="J48" s="5" t="str">
        <f aca="false">IF(Coleta!$C10&lt;&gt;B$4,"",IF(OR(Coleta!$G10="",Coleta!$G55=""),"",IF(Coleta!$G10=Coleta!$G55,1,0)))</f>
        <v/>
      </c>
      <c r="K48" s="5" t="n">
        <f aca="false">IF(Coleta!$C10&lt;&gt;C$4,"",IF(OR(Coleta!$G10="",Coleta!$G55=""),"",IF(Coleta!$G10=Coleta!$G55,1,0)))</f>
        <v>1</v>
      </c>
      <c r="L48" s="5" t="str">
        <f aca="false">IF(Coleta!$C10&lt;&gt;D$4,"",IF(OR(Coleta!$G10="",Coleta!$G55=""),"",IF(Coleta!$G10=Coleta!$G55,1,0)))</f>
        <v/>
      </c>
    </row>
    <row r="49" customFormat="false" ht="15" hidden="false" customHeight="true" outlineLevel="0" collapsed="false">
      <c r="B49" s="5" t="str">
        <f aca="false">IF(Coleta!$C11=B$4,IF(Coleta!$M11="","",Coleta!$M11),"")</f>
        <v/>
      </c>
      <c r="C49" s="5" t="str">
        <f aca="false">IF(Coleta!$C11=C$4,IF(Coleta!$M11="","",Coleta!$M11),"")</f>
        <v/>
      </c>
      <c r="D49" s="36" t="n">
        <f aca="false">IF(Coleta!$C11=D$4,IF(Coleta!$M11="","",Coleta!$M11),"")</f>
        <v>8.57</v>
      </c>
      <c r="F49" s="5" t="str">
        <f aca="false">IF(Coleta!$C11=B$4,IF(Coleta!$N11="","",Coleta!$N11),"")</f>
        <v/>
      </c>
      <c r="G49" s="5" t="str">
        <f aca="false">IF(Coleta!$C11=C$4,IF(Coleta!$N11="","",Coleta!$N11),"")</f>
        <v/>
      </c>
      <c r="H49" s="37" t="n">
        <f aca="false">IF(Coleta!$C11=D$4,IF(Coleta!$N11="","",Coleta!$N11),"")</f>
        <v>5</v>
      </c>
      <c r="J49" s="5" t="str">
        <f aca="false">IF(Coleta!$C11&lt;&gt;B$4,"",IF(OR(Coleta!$G11="",Coleta!$G56=""),"",IF(Coleta!$G11=Coleta!$G56,1,0)))</f>
        <v/>
      </c>
      <c r="K49" s="5" t="str">
        <f aca="false">IF(Coleta!$C11&lt;&gt;C$4,"",IF(OR(Coleta!$G11="",Coleta!$G56=""),"",IF(Coleta!$G11=Coleta!$G56,1,0)))</f>
        <v/>
      </c>
      <c r="L49" s="5" t="n">
        <f aca="false">IF(Coleta!$C11&lt;&gt;D$4,"",IF(OR(Coleta!$G11="",Coleta!$G56=""),"",IF(Coleta!$G11=Coleta!$G56,1,0)))</f>
        <v>1</v>
      </c>
    </row>
    <row r="50" customFormat="false" ht="15" hidden="false" customHeight="true" outlineLevel="0" collapsed="false">
      <c r="B50" s="36" t="n">
        <f aca="false">IF(Coleta!$C12=B$4,IF(Coleta!$M12="","",Coleta!$M12),"")</f>
        <v>6.67</v>
      </c>
      <c r="C50" s="5" t="str">
        <f aca="false">IF(Coleta!$C12=C$4,IF(Coleta!$M12="","",Coleta!$M12),"")</f>
        <v/>
      </c>
      <c r="D50" s="5" t="str">
        <f aca="false">IF(Coleta!$C12=D$4,IF(Coleta!$M12="","",Coleta!$M12),"")</f>
        <v/>
      </c>
      <c r="F50" s="37" t="n">
        <f aca="false">IF(Coleta!$C12=B$4,IF(Coleta!$N12="","",Coleta!$N12),"")</f>
        <v>3</v>
      </c>
      <c r="G50" s="5" t="str">
        <f aca="false">IF(Coleta!$C12=C$4,IF(Coleta!$N12="","",Coleta!$N12),"")</f>
        <v/>
      </c>
      <c r="H50" s="5" t="str">
        <f aca="false">IF(Coleta!$C12=D$4,IF(Coleta!$N12="","",Coleta!$N12),"")</f>
        <v/>
      </c>
      <c r="J50" s="5" t="n">
        <f aca="false">IF(Coleta!$C12&lt;&gt;B$4,"",IF(OR(Coleta!$G12="",Coleta!$G57=""),"",IF(Coleta!$G12=Coleta!$G57,1,0)))</f>
        <v>1</v>
      </c>
      <c r="K50" s="5" t="str">
        <f aca="false">IF(Coleta!$C12&lt;&gt;C$4,"",IF(OR(Coleta!$G12="",Coleta!$G57=""),"",IF(Coleta!$G12=Coleta!$G57,1,0)))</f>
        <v/>
      </c>
      <c r="L50" s="5" t="str">
        <f aca="false">IF(Coleta!$C12&lt;&gt;D$4,"",IF(OR(Coleta!$G12="",Coleta!$G57=""),"",IF(Coleta!$G12=Coleta!$G57,1,0)))</f>
        <v/>
      </c>
    </row>
    <row r="51" customFormat="false" ht="15" hidden="false" customHeight="true" outlineLevel="0" collapsed="false">
      <c r="B51" s="5" t="str">
        <f aca="false">IF(Coleta!$C13=B$4,IF(Coleta!$M13="","",Coleta!$M13),"")</f>
        <v/>
      </c>
      <c r="C51" s="36" t="n">
        <f aca="false">IF(Coleta!$C13=C$4,IF(Coleta!$M13="","",Coleta!$M13),"")</f>
        <v>8.18</v>
      </c>
      <c r="D51" s="5" t="str">
        <f aca="false">IF(Coleta!$C13=D$4,IF(Coleta!$M13="","",Coleta!$M13),"")</f>
        <v/>
      </c>
      <c r="F51" s="5" t="str">
        <f aca="false">IF(Coleta!$C13=B$4,IF(Coleta!$N13="","",Coleta!$N13),"")</f>
        <v/>
      </c>
      <c r="G51" s="37" t="n">
        <f aca="false">IF(Coleta!$C13=C$4,IF(Coleta!$N13="","",Coleta!$N13),"")</f>
        <v>7</v>
      </c>
      <c r="H51" s="5" t="str">
        <f aca="false">IF(Coleta!$C13=D$4,IF(Coleta!$N13="","",Coleta!$N13),"")</f>
        <v/>
      </c>
      <c r="J51" s="5" t="str">
        <f aca="false">IF(Coleta!$C13&lt;&gt;B$4,"",IF(OR(Coleta!$G13="",Coleta!$G58=""),"",IF(Coleta!$G13=Coleta!$G58,1,0)))</f>
        <v/>
      </c>
      <c r="K51" s="5" t="n">
        <f aca="false">IF(Coleta!$C13&lt;&gt;C$4,"",IF(OR(Coleta!$G13="",Coleta!$G58=""),"",IF(Coleta!$G13=Coleta!$G58,1,0)))</f>
        <v>1</v>
      </c>
      <c r="L51" s="5" t="str">
        <f aca="false">IF(Coleta!$C13&lt;&gt;D$4,"",IF(OR(Coleta!$G13="",Coleta!$G58=""),"",IF(Coleta!$G13=Coleta!$G58,1,0)))</f>
        <v/>
      </c>
    </row>
    <row r="52" customFormat="false" ht="15" hidden="false" customHeight="true" outlineLevel="0" collapsed="false">
      <c r="B52" s="5" t="str">
        <f aca="false">IF(Coleta!$C14=B$4,IF(Coleta!$M14="","",Coleta!$M14),"")</f>
        <v/>
      </c>
      <c r="C52" s="5" t="str">
        <f aca="false">IF(Coleta!$C14=C$4,IF(Coleta!$M14="","",Coleta!$M14),"")</f>
        <v/>
      </c>
      <c r="D52" s="36" t="n">
        <f aca="false">IF(Coleta!$C14=D$4,IF(Coleta!$M14="","",Coleta!$M14),"")</f>
        <v>8.5</v>
      </c>
      <c r="F52" s="5" t="str">
        <f aca="false">IF(Coleta!$C14=B$4,IF(Coleta!$N14="","",Coleta!$N14),"")</f>
        <v/>
      </c>
      <c r="G52" s="5" t="str">
        <f aca="false">IF(Coleta!$C14=C$4,IF(Coleta!$N14="","",Coleta!$N14),"")</f>
        <v/>
      </c>
      <c r="H52" s="37" t="n">
        <f aca="false">IF(Coleta!$C14=D$4,IF(Coleta!$N14="","",Coleta!$N14),"")</f>
        <v>4</v>
      </c>
      <c r="J52" s="5" t="str">
        <f aca="false">IF(Coleta!$C14&lt;&gt;B$4,"",IF(OR(Coleta!$G14="",Coleta!$G59=""),"",IF(Coleta!$G14=Coleta!$G59,1,0)))</f>
        <v/>
      </c>
      <c r="K52" s="5" t="str">
        <f aca="false">IF(Coleta!$C14&lt;&gt;C$4,"",IF(OR(Coleta!$G14="",Coleta!$G59=""),"",IF(Coleta!$G14=Coleta!$G59,1,0)))</f>
        <v/>
      </c>
      <c r="L52" s="5" t="n">
        <f aca="false">IF(Coleta!$C14&lt;&gt;D$4,"",IF(OR(Coleta!$G14="",Coleta!$G59=""),"",IF(Coleta!$G14=Coleta!$G59,1,0)))</f>
        <v>1</v>
      </c>
    </row>
    <row r="53" customFormat="false" ht="15" hidden="false" customHeight="true" outlineLevel="0" collapsed="false">
      <c r="B53" s="36" t="n">
        <f aca="false">IF(Coleta!$C15=B$4,IF(Coleta!$M15="","",Coleta!$M15),"")</f>
        <v>10</v>
      </c>
      <c r="C53" s="5" t="str">
        <f aca="false">IF(Coleta!$C15=C$4,IF(Coleta!$M15="","",Coleta!$M15),"")</f>
        <v/>
      </c>
      <c r="D53" s="5" t="str">
        <f aca="false">IF(Coleta!$C15=D$4,IF(Coleta!$M15="","",Coleta!$M15),"")</f>
        <v/>
      </c>
      <c r="F53" s="37" t="n">
        <f aca="false">IF(Coleta!$C15=B$4,IF(Coleta!$N15="","",Coleta!$N15),"")</f>
        <v>1</v>
      </c>
      <c r="G53" s="5" t="str">
        <f aca="false">IF(Coleta!$C15=C$4,IF(Coleta!$N15="","",Coleta!$N15),"")</f>
        <v/>
      </c>
      <c r="H53" s="5" t="str">
        <f aca="false">IF(Coleta!$C15=D$4,IF(Coleta!$N15="","",Coleta!$N15),"")</f>
        <v/>
      </c>
      <c r="J53" s="5" t="n">
        <f aca="false">IF(Coleta!$C15&lt;&gt;B$4,"",IF(OR(Coleta!$G15="",Coleta!$G60=""),"",IF(Coleta!$G15=Coleta!$G60,1,0)))</f>
        <v>1</v>
      </c>
      <c r="K53" s="5" t="str">
        <f aca="false">IF(Coleta!$C15&lt;&gt;C$4,"",IF(OR(Coleta!$G15="",Coleta!$G60=""),"",IF(Coleta!$G15=Coleta!$G60,1,0)))</f>
        <v/>
      </c>
      <c r="L53" s="5" t="str">
        <f aca="false">IF(Coleta!$C15&lt;&gt;D$4,"",IF(OR(Coleta!$G15="",Coleta!$G60=""),"",IF(Coleta!$G15=Coleta!$G60,1,0)))</f>
        <v/>
      </c>
    </row>
    <row r="54" customFormat="false" ht="15" hidden="false" customHeight="true" outlineLevel="0" collapsed="false">
      <c r="B54" s="5" t="str">
        <f aca="false">IF(Coleta!$C16=B$4,IF(Coleta!$M16="","",Coleta!$M16),"")</f>
        <v/>
      </c>
      <c r="C54" s="36" t="n">
        <f aca="false">IF(Coleta!$C16=C$4,IF(Coleta!$M16="","",Coleta!$M16),"")</f>
        <v>6</v>
      </c>
      <c r="D54" s="5" t="str">
        <f aca="false">IF(Coleta!$C16=D$4,IF(Coleta!$M16="","",Coleta!$M16),"")</f>
        <v/>
      </c>
      <c r="F54" s="5" t="str">
        <f aca="false">IF(Coleta!$C16=B$4,IF(Coleta!$N16="","",Coleta!$N16),"")</f>
        <v/>
      </c>
      <c r="G54" s="37" t="n">
        <f aca="false">IF(Coleta!$C16=C$4,IF(Coleta!$N16="","",Coleta!$N16),"")</f>
        <v>3</v>
      </c>
      <c r="H54" s="5" t="str">
        <f aca="false">IF(Coleta!$C16=D$4,IF(Coleta!$N16="","",Coleta!$N16),"")</f>
        <v/>
      </c>
      <c r="J54" s="5" t="str">
        <f aca="false">IF(Coleta!$C16&lt;&gt;B$4,"",IF(OR(Coleta!$G16="",Coleta!$G61=""),"",IF(Coleta!$G16=Coleta!$G61,1,0)))</f>
        <v/>
      </c>
      <c r="K54" s="5" t="n">
        <f aca="false">IF(Coleta!$C16&lt;&gt;C$4,"",IF(OR(Coleta!$G16="",Coleta!$G61=""),"",IF(Coleta!$G16=Coleta!$G61,1,0)))</f>
        <v>1</v>
      </c>
      <c r="L54" s="5" t="str">
        <f aca="false">IF(Coleta!$C16&lt;&gt;D$4,"",IF(OR(Coleta!$G16="",Coleta!$G61=""),"",IF(Coleta!$G16=Coleta!$G61,1,0)))</f>
        <v/>
      </c>
    </row>
    <row r="55" customFormat="false" ht="15" hidden="false" customHeight="true" outlineLevel="0" collapsed="false">
      <c r="B55" s="5" t="str">
        <f aca="false">IF(Coleta!$C17=B$4,IF(Coleta!$M17="","",Coleta!$M17),"")</f>
        <v/>
      </c>
      <c r="C55" s="5" t="str">
        <f aca="false">IF(Coleta!$C17=C$4,IF(Coleta!$M17="","",Coleta!$M17),"")</f>
        <v/>
      </c>
      <c r="D55" s="36" t="n">
        <f aca="false">IF(Coleta!$C17=D$4,IF(Coleta!$M17="","",Coleta!$M17),"")</f>
        <v>10</v>
      </c>
      <c r="F55" s="5" t="str">
        <f aca="false">IF(Coleta!$C17=B$4,IF(Coleta!$N17="","",Coleta!$N17),"")</f>
        <v/>
      </c>
      <c r="G55" s="5" t="str">
        <f aca="false">IF(Coleta!$C17=C$4,IF(Coleta!$N17="","",Coleta!$N17),"")</f>
        <v/>
      </c>
      <c r="H55" s="37" t="n">
        <f aca="false">IF(Coleta!$C17=D$4,IF(Coleta!$N17="","",Coleta!$N17),"")</f>
        <v>1</v>
      </c>
      <c r="J55" s="5" t="str">
        <f aca="false">IF(Coleta!$C17&lt;&gt;B$4,"",IF(OR(Coleta!$G17="",Coleta!$G62=""),"",IF(Coleta!$G17=Coleta!$G62,1,0)))</f>
        <v/>
      </c>
      <c r="K55" s="5" t="str">
        <f aca="false">IF(Coleta!$C17&lt;&gt;C$4,"",IF(OR(Coleta!$G17="",Coleta!$G62=""),"",IF(Coleta!$G17=Coleta!$G62,1,0)))</f>
        <v/>
      </c>
      <c r="L55" s="5" t="n">
        <f aca="false">IF(Coleta!$C17&lt;&gt;D$4,"",IF(OR(Coleta!$G17="",Coleta!$G62=""),"",IF(Coleta!$G17=Coleta!$G62,1,0)))</f>
        <v>1</v>
      </c>
    </row>
    <row r="56" customFormat="false" ht="15" hidden="false" customHeight="true" outlineLevel="0" collapsed="false">
      <c r="B56" s="36" t="n">
        <f aca="false">IF(Coleta!$C18=B$4,IF(Coleta!$M18="","",Coleta!$M18),"")</f>
        <v>10</v>
      </c>
      <c r="C56" s="5" t="str">
        <f aca="false">IF(Coleta!$C18=C$4,IF(Coleta!$M18="","",Coleta!$M18),"")</f>
        <v/>
      </c>
      <c r="D56" s="5" t="str">
        <f aca="false">IF(Coleta!$C18=D$4,IF(Coleta!$M18="","",Coleta!$M18),"")</f>
        <v/>
      </c>
      <c r="F56" s="37" t="n">
        <f aca="false">IF(Coleta!$C18=B$4,IF(Coleta!$N18="","",Coleta!$N18),"")</f>
        <v>4</v>
      </c>
      <c r="G56" s="5" t="str">
        <f aca="false">IF(Coleta!$C18=C$4,IF(Coleta!$N18="","",Coleta!$N18),"")</f>
        <v/>
      </c>
      <c r="H56" s="5" t="str">
        <f aca="false">IF(Coleta!$C18=D$4,IF(Coleta!$N18="","",Coleta!$N18),"")</f>
        <v/>
      </c>
      <c r="J56" s="5" t="n">
        <f aca="false">IF(Coleta!$C18&lt;&gt;B$4,"",IF(OR(Coleta!$G18="",Coleta!$G63=""),"",IF(Coleta!$G18=Coleta!$G63,1,0)))</f>
        <v>1</v>
      </c>
      <c r="K56" s="5" t="str">
        <f aca="false">IF(Coleta!$C18&lt;&gt;C$4,"",IF(OR(Coleta!$G18="",Coleta!$G63=""),"",IF(Coleta!$G18=Coleta!$G63,1,0)))</f>
        <v/>
      </c>
      <c r="L56" s="5" t="str">
        <f aca="false">IF(Coleta!$C18&lt;&gt;D$4,"",IF(OR(Coleta!$G18="",Coleta!$G63=""),"",IF(Coleta!$G18=Coleta!$G63,1,0)))</f>
        <v/>
      </c>
    </row>
    <row r="57" customFormat="false" ht="15" hidden="false" customHeight="true" outlineLevel="0" collapsed="false">
      <c r="B57" s="5" t="str">
        <f aca="false">IF(Coleta!$C19=B$4,IF(Coleta!$M19="","",Coleta!$M19),"")</f>
        <v/>
      </c>
      <c r="C57" s="36" t="n">
        <f aca="false">IF(Coleta!$C19=C$4,IF(Coleta!$M19="","",Coleta!$M19),"")</f>
        <v>7</v>
      </c>
      <c r="D57" s="5" t="str">
        <f aca="false">IF(Coleta!$C19=D$4,IF(Coleta!$M19="","",Coleta!$M19),"")</f>
        <v/>
      </c>
      <c r="F57" s="5" t="str">
        <f aca="false">IF(Coleta!$C19=B$4,IF(Coleta!$N19="","",Coleta!$N19),"")</f>
        <v/>
      </c>
      <c r="G57" s="37" t="n">
        <f aca="false">IF(Coleta!$C19=C$4,IF(Coleta!$N19="","",Coleta!$N19),"")</f>
        <v>6</v>
      </c>
      <c r="H57" s="5" t="str">
        <f aca="false">IF(Coleta!$C19=D$4,IF(Coleta!$N19="","",Coleta!$N19),"")</f>
        <v/>
      </c>
      <c r="J57" s="5" t="str">
        <f aca="false">IF(Coleta!$C19&lt;&gt;B$4,"",IF(OR(Coleta!$G19="",Coleta!$G64=""),"",IF(Coleta!$G19=Coleta!$G64,1,0)))</f>
        <v/>
      </c>
      <c r="K57" s="5" t="n">
        <f aca="false">IF(Coleta!$C19&lt;&gt;C$4,"",IF(OR(Coleta!$G19="",Coleta!$G64=""),"",IF(Coleta!$G19=Coleta!$G64,1,0)))</f>
        <v>1</v>
      </c>
      <c r="L57" s="5" t="str">
        <f aca="false">IF(Coleta!$C19&lt;&gt;D$4,"",IF(OR(Coleta!$G19="",Coleta!$G64=""),"",IF(Coleta!$G19=Coleta!$G64,1,0)))</f>
        <v/>
      </c>
    </row>
    <row r="58" customFormat="false" ht="15" hidden="false" customHeight="true" outlineLevel="0" collapsed="false">
      <c r="B58" s="5" t="str">
        <f aca="false">IF(Coleta!$C20=B$4,IF(Coleta!$M20="","",Coleta!$M20),"")</f>
        <v/>
      </c>
      <c r="C58" s="5" t="str">
        <f aca="false">IF(Coleta!$C20=C$4,IF(Coleta!$M20="","",Coleta!$M20),"")</f>
        <v/>
      </c>
      <c r="D58" s="36" t="n">
        <f aca="false">IF(Coleta!$C20=D$4,IF(Coleta!$M20="","",Coleta!$M20),"")</f>
        <v>8.24</v>
      </c>
      <c r="F58" s="5" t="str">
        <f aca="false">IF(Coleta!$C20=B$4,IF(Coleta!$N20="","",Coleta!$N20),"")</f>
        <v/>
      </c>
      <c r="G58" s="5" t="str">
        <f aca="false">IF(Coleta!$C20=C$4,IF(Coleta!$N20="","",Coleta!$N20),"")</f>
        <v/>
      </c>
      <c r="H58" s="37" t="n">
        <f aca="false">IF(Coleta!$C20=D$4,IF(Coleta!$N20="","",Coleta!$N20),"")</f>
        <v>3</v>
      </c>
      <c r="J58" s="5" t="str">
        <f aca="false">IF(Coleta!$C20&lt;&gt;B$4,"",IF(OR(Coleta!$G20="",Coleta!$G65=""),"",IF(Coleta!$G20=Coleta!$G65,1,0)))</f>
        <v/>
      </c>
      <c r="K58" s="5" t="str">
        <f aca="false">IF(Coleta!$C20&lt;&gt;C$4,"",IF(OR(Coleta!$G20="",Coleta!$G65=""),"",IF(Coleta!$G20=Coleta!$G65,1,0)))</f>
        <v/>
      </c>
      <c r="L58" s="5" t="n">
        <f aca="false">IF(Coleta!$C20&lt;&gt;D$4,"",IF(OR(Coleta!$G20="",Coleta!$G65=""),"",IF(Coleta!$G20=Coleta!$G65,1,0)))</f>
        <v>1</v>
      </c>
    </row>
    <row r="59" customFormat="false" ht="15" hidden="false" customHeight="true" outlineLevel="0" collapsed="false">
      <c r="B59" s="36" t="n">
        <f aca="false">IF(Coleta!$C21=B$4,IF(Coleta!$M21="","",Coleta!$M21),"")</f>
        <v>10</v>
      </c>
      <c r="C59" s="5" t="str">
        <f aca="false">IF(Coleta!$C21=C$4,IF(Coleta!$M21="","",Coleta!$M21),"")</f>
        <v/>
      </c>
      <c r="D59" s="5" t="str">
        <f aca="false">IF(Coleta!$C21=D$4,IF(Coleta!$M21="","",Coleta!$M21),"")</f>
        <v/>
      </c>
      <c r="F59" s="37" t="n">
        <f aca="false">IF(Coleta!$C21=B$4,IF(Coleta!$N21="","",Coleta!$N21),"")</f>
        <v>11</v>
      </c>
      <c r="G59" s="5" t="str">
        <f aca="false">IF(Coleta!$C21=C$4,IF(Coleta!$N21="","",Coleta!$N21),"")</f>
        <v/>
      </c>
      <c r="H59" s="5" t="str">
        <f aca="false">IF(Coleta!$C21=D$4,IF(Coleta!$N21="","",Coleta!$N21),"")</f>
        <v/>
      </c>
      <c r="J59" s="5" t="n">
        <f aca="false">IF(Coleta!$C21&lt;&gt;B$4,"",IF(OR(Coleta!$G21="",Coleta!$G66=""),"",IF(Coleta!$G21=Coleta!$G66,1,0)))</f>
        <v>1</v>
      </c>
      <c r="K59" s="5" t="str">
        <f aca="false">IF(Coleta!$C21&lt;&gt;C$4,"",IF(OR(Coleta!$G21="",Coleta!$G66=""),"",IF(Coleta!$G21=Coleta!$G66,1,0)))</f>
        <v/>
      </c>
      <c r="L59" s="5" t="str">
        <f aca="false">IF(Coleta!$C21&lt;&gt;D$4,"",IF(OR(Coleta!$G21="",Coleta!$G66=""),"",IF(Coleta!$G21=Coleta!$G66,1,0)))</f>
        <v/>
      </c>
    </row>
    <row r="60" customFormat="false" ht="15" hidden="false" customHeight="true" outlineLevel="0" collapsed="false">
      <c r="B60" s="5" t="str">
        <f aca="false">IF(Coleta!$C22=B$4,IF(Coleta!$M22="","",Coleta!$M22),"")</f>
        <v/>
      </c>
      <c r="C60" s="36" t="n">
        <f aca="false">IF(Coleta!$C22=C$4,IF(Coleta!$M22="","",Coleta!$M22),"")</f>
        <v>8</v>
      </c>
      <c r="D60" s="5" t="str">
        <f aca="false">IF(Coleta!$C22=D$4,IF(Coleta!$M22="","",Coleta!$M22),"")</f>
        <v/>
      </c>
      <c r="F60" s="5" t="str">
        <f aca="false">IF(Coleta!$C22=B$4,IF(Coleta!$N22="","",Coleta!$N22),"")</f>
        <v/>
      </c>
      <c r="G60" s="37" t="n">
        <f aca="false">IF(Coleta!$C22=C$4,IF(Coleta!$N22="","",Coleta!$N22),"")</f>
        <v>12</v>
      </c>
      <c r="H60" s="5" t="str">
        <f aca="false">IF(Coleta!$C22=D$4,IF(Coleta!$N22="","",Coleta!$N22),"")</f>
        <v/>
      </c>
      <c r="J60" s="5" t="str">
        <f aca="false">IF(Coleta!$C22&lt;&gt;B$4,"",IF(OR(Coleta!$G22="",Coleta!$G67=""),"",IF(Coleta!$G22=Coleta!$G67,1,0)))</f>
        <v/>
      </c>
      <c r="K60" s="5" t="n">
        <f aca="false">IF(Coleta!$C22&lt;&gt;C$4,"",IF(OR(Coleta!$G22="",Coleta!$G67=""),"",IF(Coleta!$G22=Coleta!$G67,1,0)))</f>
        <v>1</v>
      </c>
      <c r="L60" s="5" t="str">
        <f aca="false">IF(Coleta!$C22&lt;&gt;D$4,"",IF(OR(Coleta!$G22="",Coleta!$G67=""),"",IF(Coleta!$G22=Coleta!$G67,1,0)))</f>
        <v/>
      </c>
    </row>
    <row r="61" customFormat="false" ht="15" hidden="false" customHeight="true" outlineLevel="0" collapsed="false">
      <c r="B61" s="5" t="str">
        <f aca="false">IF(Coleta!$C23=B$4,IF(Coleta!$M23="","",Coleta!$M23),"")</f>
        <v/>
      </c>
      <c r="C61" s="5" t="str">
        <f aca="false">IF(Coleta!$C23=C$4,IF(Coleta!$M23="","",Coleta!$M23),"")</f>
        <v/>
      </c>
      <c r="D61" s="36" t="n">
        <f aca="false">IF(Coleta!$C23=D$4,IF(Coleta!$M23="","",Coleta!$M23),"")</f>
        <v>10</v>
      </c>
      <c r="F61" s="5" t="str">
        <f aca="false">IF(Coleta!$C23=B$4,IF(Coleta!$N23="","",Coleta!$N23),"")</f>
        <v/>
      </c>
      <c r="G61" s="5" t="str">
        <f aca="false">IF(Coleta!$C23=C$4,IF(Coleta!$N23="","",Coleta!$N23),"")</f>
        <v/>
      </c>
      <c r="H61" s="37" t="n">
        <f aca="false">IF(Coleta!$C23=D$4,IF(Coleta!$N23="","",Coleta!$N23),"")</f>
        <v>12</v>
      </c>
      <c r="J61" s="5" t="str">
        <f aca="false">IF(Coleta!$C23&lt;&gt;B$4,"",IF(OR(Coleta!$G23="",Coleta!$G68=""),"",IF(Coleta!$G23=Coleta!$G68,1,0)))</f>
        <v/>
      </c>
      <c r="K61" s="5" t="str">
        <f aca="false">IF(Coleta!$C23&lt;&gt;C$4,"",IF(OR(Coleta!$G23="",Coleta!$G68=""),"",IF(Coleta!$G23=Coleta!$G68,1,0)))</f>
        <v/>
      </c>
      <c r="L61" s="5" t="n">
        <f aca="false">IF(Coleta!$C23&lt;&gt;D$4,"",IF(OR(Coleta!$G23="",Coleta!$G68=""),"",IF(Coleta!$G23=Coleta!$G68,1,0)))</f>
        <v>1</v>
      </c>
    </row>
    <row r="62" customFormat="false" ht="15" hidden="false" customHeight="true" outlineLevel="0" collapsed="false">
      <c r="B62" s="36" t="n">
        <f aca="false">IF(Coleta!$C24=B$4,IF(Coleta!$M24="","",Coleta!$M24),"")</f>
        <v>9.52</v>
      </c>
      <c r="C62" s="5" t="str">
        <f aca="false">IF(Coleta!$C24=C$4,IF(Coleta!$M24="","",Coleta!$M24),"")</f>
        <v/>
      </c>
      <c r="D62" s="5" t="str">
        <f aca="false">IF(Coleta!$C24=D$4,IF(Coleta!$M24="","",Coleta!$M24),"")</f>
        <v/>
      </c>
      <c r="F62" s="37" t="n">
        <f aca="false">IF(Coleta!$C24=B$4,IF(Coleta!$N24="","",Coleta!$N24),"")</f>
        <v>21</v>
      </c>
      <c r="G62" s="5" t="str">
        <f aca="false">IF(Coleta!$C24=C$4,IF(Coleta!$N24="","",Coleta!$N24),"")</f>
        <v/>
      </c>
      <c r="H62" s="5" t="str">
        <f aca="false">IF(Coleta!$C24=D$4,IF(Coleta!$N24="","",Coleta!$N24),"")</f>
        <v/>
      </c>
      <c r="J62" s="5" t="n">
        <f aca="false">IF(Coleta!$C24&lt;&gt;B$4,"",IF(OR(Coleta!$G24="",Coleta!$G69=""),"",IF(Coleta!$G24=Coleta!$G69,1,0)))</f>
        <v>0</v>
      </c>
      <c r="K62" s="5" t="str">
        <f aca="false">IF(Coleta!$C24&lt;&gt;C$4,"",IF(OR(Coleta!$G24="",Coleta!$G69=""),"",IF(Coleta!$G24=Coleta!$G69,1,0)))</f>
        <v/>
      </c>
      <c r="L62" s="5" t="str">
        <f aca="false">IF(Coleta!$C24&lt;&gt;D$4,"",IF(OR(Coleta!$G24="",Coleta!$G69=""),"",IF(Coleta!$G24=Coleta!$G69,1,0)))</f>
        <v/>
      </c>
    </row>
    <row r="63" customFormat="false" ht="15" hidden="false" customHeight="true" outlineLevel="0" collapsed="false">
      <c r="B63" s="5" t="str">
        <f aca="false">IF(Coleta!$C25=B$4,IF(Coleta!$M25="","",Coleta!$M25),"")</f>
        <v/>
      </c>
      <c r="C63" s="36" t="n">
        <f aca="false">IF(Coleta!$C25=C$4,IF(Coleta!$M25="","",Coleta!$M25),"")</f>
        <v>8.28</v>
      </c>
      <c r="D63" s="5" t="str">
        <f aca="false">IF(Coleta!$C25=D$4,IF(Coleta!$M25="","",Coleta!$M25),"")</f>
        <v/>
      </c>
      <c r="F63" s="5" t="str">
        <f aca="false">IF(Coleta!$C25=B$4,IF(Coleta!$N25="","",Coleta!$N25),"")</f>
        <v/>
      </c>
      <c r="G63" s="37" t="n">
        <f aca="false">IF(Coleta!$C25=C$4,IF(Coleta!$N25="","",Coleta!$N25),"")</f>
        <v>9</v>
      </c>
      <c r="H63" s="5" t="str">
        <f aca="false">IF(Coleta!$C25=D$4,IF(Coleta!$N25="","",Coleta!$N25),"")</f>
        <v/>
      </c>
      <c r="J63" s="5" t="str">
        <f aca="false">IF(Coleta!$C25&lt;&gt;B$4,"",IF(OR(Coleta!$G25="",Coleta!$G70=""),"",IF(Coleta!$G25=Coleta!$G70,1,0)))</f>
        <v/>
      </c>
      <c r="K63" s="5" t="n">
        <f aca="false">IF(Coleta!$C25&lt;&gt;C$4,"",IF(OR(Coleta!$G25="",Coleta!$G70=""),"",IF(Coleta!$G25=Coleta!$G70,1,0)))</f>
        <v>1</v>
      </c>
      <c r="L63" s="5" t="str">
        <f aca="false">IF(Coleta!$C25&lt;&gt;D$4,"",IF(OR(Coleta!$G25="",Coleta!$G70=""),"",IF(Coleta!$G25=Coleta!$G70,1,0)))</f>
        <v/>
      </c>
    </row>
    <row r="64" customFormat="false" ht="15" hidden="false" customHeight="true" outlineLevel="0" collapsed="false">
      <c r="B64" s="5" t="str">
        <f aca="false">IF(Coleta!$C26=B$4,IF(Coleta!$M26="","",Coleta!$M26),"")</f>
        <v/>
      </c>
      <c r="C64" s="5" t="str">
        <f aca="false">IF(Coleta!$C26=C$4,IF(Coleta!$M26="","",Coleta!$M26),"")</f>
        <v/>
      </c>
      <c r="D64" s="36" t="n">
        <f aca="false">IF(Coleta!$C26=D$4,IF(Coleta!$M26="","",Coleta!$M26),"")</f>
        <v>9.79</v>
      </c>
      <c r="F64" s="5" t="str">
        <f aca="false">IF(Coleta!$C26=B$4,IF(Coleta!$N26="","",Coleta!$N26),"")</f>
        <v/>
      </c>
      <c r="G64" s="5" t="str">
        <f aca="false">IF(Coleta!$C26=C$4,IF(Coleta!$N26="","",Coleta!$N26),"")</f>
        <v/>
      </c>
      <c r="H64" s="37" t="n">
        <f aca="false">IF(Coleta!$C26=D$4,IF(Coleta!$N26="","",Coleta!$N26),"")</f>
        <v>17</v>
      </c>
      <c r="J64" s="5" t="str">
        <f aca="false">IF(Coleta!$C26&lt;&gt;B$4,"",IF(OR(Coleta!$G26="",Coleta!$G71=""),"",IF(Coleta!$G26=Coleta!$G71,1,0)))</f>
        <v/>
      </c>
      <c r="K64" s="5" t="str">
        <f aca="false">IF(Coleta!$C26&lt;&gt;C$4,"",IF(OR(Coleta!$G26="",Coleta!$G71=""),"",IF(Coleta!$G26=Coleta!$G71,1,0)))</f>
        <v/>
      </c>
      <c r="L64" s="5" t="n">
        <f aca="false">IF(Coleta!$C26&lt;&gt;D$4,"",IF(OR(Coleta!$G26="",Coleta!$G71=""),"",IF(Coleta!$G26=Coleta!$G71,1,0)))</f>
        <v>1</v>
      </c>
    </row>
    <row r="65" customFormat="false" ht="15" hidden="false" customHeight="true" outlineLevel="0" collapsed="false">
      <c r="B65" s="36" t="n">
        <f aca="false">IF(Coleta!$C27=B$4,IF(Coleta!$M27="","",Coleta!$M27),"")</f>
        <v>10</v>
      </c>
      <c r="C65" s="5" t="str">
        <f aca="false">IF(Coleta!$C27=C$4,IF(Coleta!$M27="","",Coleta!$M27),"")</f>
        <v/>
      </c>
      <c r="D65" s="5" t="str">
        <f aca="false">IF(Coleta!$C27=D$4,IF(Coleta!$M27="","",Coleta!$M27),"")</f>
        <v/>
      </c>
      <c r="F65" s="37" t="n">
        <f aca="false">IF(Coleta!$C27=B$4,IF(Coleta!$N27="","",Coleta!$N27),"")</f>
        <v>9</v>
      </c>
      <c r="G65" s="5" t="str">
        <f aca="false">IF(Coleta!$C27=C$4,IF(Coleta!$N27="","",Coleta!$N27),"")</f>
        <v/>
      </c>
      <c r="H65" s="5" t="str">
        <f aca="false">IF(Coleta!$C27=D$4,IF(Coleta!$N27="","",Coleta!$N27),"")</f>
        <v/>
      </c>
      <c r="J65" s="5" t="n">
        <f aca="false">IF(Coleta!$C27&lt;&gt;B$4,"",IF(OR(Coleta!$G27="",Coleta!$G72=""),"",IF(Coleta!$G27=Coleta!$G72,1,0)))</f>
        <v>0</v>
      </c>
      <c r="K65" s="5" t="str">
        <f aca="false">IF(Coleta!$C27&lt;&gt;C$4,"",IF(OR(Coleta!$G27="",Coleta!$G72=""),"",IF(Coleta!$G27=Coleta!$G72,1,0)))</f>
        <v/>
      </c>
      <c r="L65" s="5" t="str">
        <f aca="false">IF(Coleta!$C27&lt;&gt;D$4,"",IF(OR(Coleta!$G27="",Coleta!$G72=""),"",IF(Coleta!$G27=Coleta!$G72,1,0)))</f>
        <v/>
      </c>
    </row>
    <row r="66" customFormat="false" ht="15" hidden="false" customHeight="true" outlineLevel="0" collapsed="false">
      <c r="B66" s="5" t="str">
        <f aca="false">IF(Coleta!$C28=B$4,IF(Coleta!$M28="","",Coleta!$M28),"")</f>
        <v/>
      </c>
      <c r="C66" s="36" t="n">
        <f aca="false">IF(Coleta!$C28=C$4,IF(Coleta!$M28="","",Coleta!$M28),"")</f>
        <v>7.43</v>
      </c>
      <c r="D66" s="5" t="str">
        <f aca="false">IF(Coleta!$C28=D$4,IF(Coleta!$M28="","",Coleta!$M28),"")</f>
        <v/>
      </c>
      <c r="F66" s="5" t="str">
        <f aca="false">IF(Coleta!$C28=B$4,IF(Coleta!$N28="","",Coleta!$N28),"")</f>
        <v/>
      </c>
      <c r="G66" s="37" t="n">
        <f aca="false">IF(Coleta!$C28=C$4,IF(Coleta!$N28="","",Coleta!$N28),"")</f>
        <v>10</v>
      </c>
      <c r="H66" s="5" t="str">
        <f aca="false">IF(Coleta!$C28=D$4,IF(Coleta!$N28="","",Coleta!$N28),"")</f>
        <v/>
      </c>
      <c r="J66" s="5" t="str">
        <f aca="false">IF(Coleta!$C28&lt;&gt;B$4,"",IF(OR(Coleta!$G28="",Coleta!$G73=""),"",IF(Coleta!$G28=Coleta!$G73,1,0)))</f>
        <v/>
      </c>
      <c r="K66" s="5" t="n">
        <f aca="false">IF(Coleta!$C28&lt;&gt;C$4,"",IF(OR(Coleta!$G28="",Coleta!$G73=""),"",IF(Coleta!$G28=Coleta!$G73,1,0)))</f>
        <v>0</v>
      </c>
      <c r="L66" s="5" t="str">
        <f aca="false">IF(Coleta!$C28&lt;&gt;D$4,"",IF(OR(Coleta!$G28="",Coleta!$G73=""),"",IF(Coleta!$G28=Coleta!$G73,1,0)))</f>
        <v/>
      </c>
    </row>
    <row r="67" customFormat="false" ht="15" hidden="false" customHeight="true" outlineLevel="0" collapsed="false">
      <c r="B67" s="5" t="str">
        <f aca="false">IF(Coleta!$C29=B$4,IF(Coleta!$M29="","",Coleta!$M29),"")</f>
        <v/>
      </c>
      <c r="C67" s="5" t="str">
        <f aca="false">IF(Coleta!$C29=C$4,IF(Coleta!$M29="","",Coleta!$M29),"")</f>
        <v/>
      </c>
      <c r="D67" s="36" t="n">
        <f aca="false">IF(Coleta!$C29=D$4,IF(Coleta!$M29="","",Coleta!$M29),"")</f>
        <v>9.26</v>
      </c>
      <c r="F67" s="5" t="str">
        <f aca="false">IF(Coleta!$C29=B$4,IF(Coleta!$N29="","",Coleta!$N29),"")</f>
        <v/>
      </c>
      <c r="G67" s="5" t="str">
        <f aca="false">IF(Coleta!$C29=C$4,IF(Coleta!$N29="","",Coleta!$N29),"")</f>
        <v/>
      </c>
      <c r="H67" s="37" t="n">
        <f aca="false">IF(Coleta!$C29=D$4,IF(Coleta!$N29="","",Coleta!$N29),"")</f>
        <v>6</v>
      </c>
      <c r="J67" s="5" t="str">
        <f aca="false">IF(Coleta!$C29&lt;&gt;B$4,"",IF(OR(Coleta!$G29="",Coleta!$G74=""),"",IF(Coleta!$G29=Coleta!$G74,1,0)))</f>
        <v/>
      </c>
      <c r="K67" s="5" t="str">
        <f aca="false">IF(Coleta!$C29&lt;&gt;C$4,"",IF(OR(Coleta!$G29="",Coleta!$G74=""),"",IF(Coleta!$G29=Coleta!$G74,1,0)))</f>
        <v/>
      </c>
      <c r="L67" s="5" t="n">
        <f aca="false">IF(Coleta!$C29&lt;&gt;D$4,"",IF(OR(Coleta!$G29="",Coleta!$G74=""),"",IF(Coleta!$G29=Coleta!$G74,1,0)))</f>
        <v>1</v>
      </c>
    </row>
    <row r="68" customFormat="false" ht="15" hidden="false" customHeight="true" outlineLevel="0" collapsed="false">
      <c r="B68" s="36" t="n">
        <f aca="false">IF(Coleta!$C30=B$4,IF(Coleta!$M30="","",Coleta!$M30),"")</f>
        <v>10</v>
      </c>
      <c r="C68" s="5" t="str">
        <f aca="false">IF(Coleta!$C30=C$4,IF(Coleta!$M30="","",Coleta!$M30),"")</f>
        <v/>
      </c>
      <c r="D68" s="5" t="str">
        <f aca="false">IF(Coleta!$C30=D$4,IF(Coleta!$M30="","",Coleta!$M30),"")</f>
        <v/>
      </c>
      <c r="F68" s="37" t="n">
        <f aca="false">IF(Coleta!$C30=B$4,IF(Coleta!$N30="","",Coleta!$N30),"")</f>
        <v>11</v>
      </c>
      <c r="G68" s="5" t="str">
        <f aca="false">IF(Coleta!$C30=C$4,IF(Coleta!$N30="","",Coleta!$N30),"")</f>
        <v/>
      </c>
      <c r="H68" s="5" t="str">
        <f aca="false">IF(Coleta!$C30=D$4,IF(Coleta!$N30="","",Coleta!$N30),"")</f>
        <v/>
      </c>
      <c r="J68" s="5" t="n">
        <f aca="false">IF(Coleta!$C30&lt;&gt;B$4,"",IF(OR(Coleta!$G30="",Coleta!$G75=""),"",IF(Coleta!$G30=Coleta!$G75,1,0)))</f>
        <v>1</v>
      </c>
      <c r="K68" s="5" t="str">
        <f aca="false">IF(Coleta!$C30&lt;&gt;C$4,"",IF(OR(Coleta!$G30="",Coleta!$G75=""),"",IF(Coleta!$G30=Coleta!$G75,1,0)))</f>
        <v/>
      </c>
      <c r="L68" s="5" t="str">
        <f aca="false">IF(Coleta!$C30&lt;&gt;D$4,"",IF(OR(Coleta!$G30="",Coleta!$G75=""),"",IF(Coleta!$G30=Coleta!$G75,1,0)))</f>
        <v/>
      </c>
    </row>
    <row r="69" customFormat="false" ht="15" hidden="false" customHeight="true" outlineLevel="0" collapsed="false">
      <c r="B69" s="5" t="str">
        <f aca="false">IF(Coleta!$C31=B$4,IF(Coleta!$M31="","",Coleta!$M31),"")</f>
        <v/>
      </c>
      <c r="C69" s="36" t="n">
        <f aca="false">IF(Coleta!$C31=C$4,IF(Coleta!$M31="","",Coleta!$M31),"")</f>
        <v>9.62</v>
      </c>
      <c r="D69" s="5" t="str">
        <f aca="false">IF(Coleta!$C31=D$4,IF(Coleta!$M31="","",Coleta!$M31),"")</f>
        <v/>
      </c>
      <c r="F69" s="5" t="str">
        <f aca="false">IF(Coleta!$C31=B$4,IF(Coleta!$N31="","",Coleta!$N31),"")</f>
        <v/>
      </c>
      <c r="G69" s="37" t="n">
        <f aca="false">IF(Coleta!$C31=C$4,IF(Coleta!$N31="","",Coleta!$N31),"")</f>
        <v>10</v>
      </c>
      <c r="H69" s="5" t="str">
        <f aca="false">IF(Coleta!$C31=D$4,IF(Coleta!$N31="","",Coleta!$N31),"")</f>
        <v/>
      </c>
      <c r="J69" s="5" t="str">
        <f aca="false">IF(Coleta!$C31&lt;&gt;B$4,"",IF(OR(Coleta!$G31="",Coleta!$G76=""),"",IF(Coleta!$G31=Coleta!$G76,1,0)))</f>
        <v/>
      </c>
      <c r="K69" s="5" t="n">
        <f aca="false">IF(Coleta!$C31&lt;&gt;C$4,"",IF(OR(Coleta!$G31="",Coleta!$G76=""),"",IF(Coleta!$G31=Coleta!$G76,1,0)))</f>
        <v>1</v>
      </c>
      <c r="L69" s="5" t="str">
        <f aca="false">IF(Coleta!$C31&lt;&gt;D$4,"",IF(OR(Coleta!$G31="",Coleta!$G76=""),"",IF(Coleta!$G31=Coleta!$G76,1,0)))</f>
        <v/>
      </c>
    </row>
    <row r="70" customFormat="false" ht="15" hidden="false" customHeight="true" outlineLevel="0" collapsed="false">
      <c r="B70" s="5" t="str">
        <f aca="false">IF(Coleta!$C32=B$4,IF(Coleta!$M32="","",Coleta!$M32),"")</f>
        <v/>
      </c>
      <c r="C70" s="5" t="str">
        <f aca="false">IF(Coleta!$C32=C$4,IF(Coleta!$M32="","",Coleta!$M32),"")</f>
        <v/>
      </c>
      <c r="D70" s="36" t="n">
        <f aca="false">IF(Coleta!$C32=D$4,IF(Coleta!$M32="","",Coleta!$M32),"")</f>
        <v>9.26</v>
      </c>
      <c r="F70" s="5" t="str">
        <f aca="false">IF(Coleta!$C32=B$4,IF(Coleta!$N32="","",Coleta!$N32),"")</f>
        <v/>
      </c>
      <c r="G70" s="5" t="str">
        <f aca="false">IF(Coleta!$C32=C$4,IF(Coleta!$N32="","",Coleta!$N32),"")</f>
        <v/>
      </c>
      <c r="H70" s="37" t="n">
        <f aca="false">IF(Coleta!$C32=D$4,IF(Coleta!$N32="","",Coleta!$N32),"")</f>
        <v>11</v>
      </c>
      <c r="J70" s="5" t="str">
        <f aca="false">IF(Coleta!$C32&lt;&gt;B$4,"",IF(OR(Coleta!$G32="",Coleta!$G77=""),"",IF(Coleta!$G32=Coleta!$G77,1,0)))</f>
        <v/>
      </c>
      <c r="K70" s="5" t="str">
        <f aca="false">IF(Coleta!$C32&lt;&gt;C$4,"",IF(OR(Coleta!$G32="",Coleta!$G77=""),"",IF(Coleta!$G32=Coleta!$G77,1,0)))</f>
        <v/>
      </c>
      <c r="L70" s="5" t="n">
        <f aca="false">IF(Coleta!$C32&lt;&gt;D$4,"",IF(OR(Coleta!$G32="",Coleta!$G77=""),"",IF(Coleta!$G32=Coleta!$G77,1,0)))</f>
        <v>1</v>
      </c>
    </row>
    <row r="71" customFormat="false" ht="15" hidden="false" customHeight="true" outlineLevel="0" collapsed="false">
      <c r="B71" s="36" t="n">
        <f aca="false">IF(Coleta!$C33=B$4,IF(Coleta!$M33="","",Coleta!$M33),"")</f>
        <v>9.57</v>
      </c>
      <c r="C71" s="5" t="str">
        <f aca="false">IF(Coleta!$C33=C$4,IF(Coleta!$M33="","",Coleta!$M33),"")</f>
        <v/>
      </c>
      <c r="D71" s="5" t="str">
        <f aca="false">IF(Coleta!$C33=D$4,IF(Coleta!$M33="","",Coleta!$M33),"")</f>
        <v/>
      </c>
      <c r="F71" s="37" t="n">
        <f aca="false">IF(Coleta!$C33=B$4,IF(Coleta!$N33="","",Coleta!$N33),"")</f>
        <v>11</v>
      </c>
      <c r="G71" s="5" t="str">
        <f aca="false">IF(Coleta!$C33=C$4,IF(Coleta!$N33="","",Coleta!$N33),"")</f>
        <v/>
      </c>
      <c r="H71" s="5" t="str">
        <f aca="false">IF(Coleta!$C33=D$4,IF(Coleta!$N33="","",Coleta!$N33),"")</f>
        <v/>
      </c>
      <c r="J71" s="5" t="n">
        <f aca="false">IF(Coleta!$C33&lt;&gt;B$4,"",IF(OR(Coleta!$G33="",Coleta!$G78=""),"",IF(Coleta!$G33=Coleta!$G78,1,0)))</f>
        <v>0</v>
      </c>
      <c r="K71" s="5" t="str">
        <f aca="false">IF(Coleta!$C33&lt;&gt;C$4,"",IF(OR(Coleta!$G33="",Coleta!$G78=""),"",IF(Coleta!$G33=Coleta!$G78,1,0)))</f>
        <v/>
      </c>
      <c r="L71" s="5" t="str">
        <f aca="false">IF(Coleta!$C33&lt;&gt;D$4,"",IF(OR(Coleta!$G33="",Coleta!$G78=""),"",IF(Coleta!$G33=Coleta!$G78,1,0)))</f>
        <v/>
      </c>
    </row>
    <row r="72" customFormat="false" ht="15" hidden="false" customHeight="true" outlineLevel="0" collapsed="false">
      <c r="B72" s="5" t="str">
        <f aca="false">IF(Coleta!$C34=B$4,IF(Coleta!$M34="","",Coleta!$M34),"")</f>
        <v/>
      </c>
      <c r="C72" s="36" t="n">
        <f aca="false">IF(Coleta!$C34=C$4,IF(Coleta!$M34="","",Coleta!$M34),"")</f>
        <v>6.3</v>
      </c>
      <c r="D72" s="5" t="str">
        <f aca="false">IF(Coleta!$C34=D$4,IF(Coleta!$M34="","",Coleta!$M34),"")</f>
        <v/>
      </c>
      <c r="F72" s="5" t="str">
        <f aca="false">IF(Coleta!$C34=B$4,IF(Coleta!$N34="","",Coleta!$N34),"")</f>
        <v/>
      </c>
      <c r="G72" s="37" t="n">
        <f aca="false">IF(Coleta!$C34=C$4,IF(Coleta!$N34="","",Coleta!$N34),"")</f>
        <v>10</v>
      </c>
      <c r="H72" s="5" t="str">
        <f aca="false">IF(Coleta!$C34=D$4,IF(Coleta!$N34="","",Coleta!$N34),"")</f>
        <v/>
      </c>
      <c r="J72" s="5" t="str">
        <f aca="false">IF(Coleta!$C34&lt;&gt;B$4,"",IF(OR(Coleta!$G34="",Coleta!$G79=""),"",IF(Coleta!$G34=Coleta!$G79,1,0)))</f>
        <v/>
      </c>
      <c r="K72" s="5" t="n">
        <f aca="false">IF(Coleta!$C34&lt;&gt;C$4,"",IF(OR(Coleta!$G34="",Coleta!$G79=""),"",IF(Coleta!$G34=Coleta!$G79,1,0)))</f>
        <v>1</v>
      </c>
      <c r="L72" s="5" t="str">
        <f aca="false">IF(Coleta!$C34&lt;&gt;D$4,"",IF(OR(Coleta!$G34="",Coleta!$G79=""),"",IF(Coleta!$G34=Coleta!$G79,1,0)))</f>
        <v/>
      </c>
    </row>
    <row r="73" customFormat="false" ht="15" hidden="false" customHeight="true" outlineLevel="0" collapsed="false">
      <c r="B73" s="5" t="str">
        <f aca="false">IF(Coleta!$C35=B$4,IF(Coleta!$M35="","",Coleta!$M35),"")</f>
        <v/>
      </c>
      <c r="C73" s="5" t="str">
        <f aca="false">IF(Coleta!$C35=C$4,IF(Coleta!$M35="","",Coleta!$M35),"")</f>
        <v/>
      </c>
      <c r="D73" s="36" t="n">
        <f aca="false">IF(Coleta!$C35=D$4,IF(Coleta!$M35="","",Coleta!$M35),"")</f>
        <v>9.2</v>
      </c>
      <c r="F73" s="5" t="str">
        <f aca="false">IF(Coleta!$C35=B$4,IF(Coleta!$N35="","",Coleta!$N35),"")</f>
        <v/>
      </c>
      <c r="G73" s="5" t="str">
        <f aca="false">IF(Coleta!$C35=C$4,IF(Coleta!$N35="","",Coleta!$N35),"")</f>
        <v/>
      </c>
      <c r="H73" s="37" t="n">
        <f aca="false">IF(Coleta!$C35=D$4,IF(Coleta!$N35="","",Coleta!$N35),"")</f>
        <v>8</v>
      </c>
      <c r="J73" s="5" t="str">
        <f aca="false">IF(Coleta!$C35&lt;&gt;B$4,"",IF(OR(Coleta!$G35="",Coleta!$G80=""),"",IF(Coleta!$G35=Coleta!$G80,1,0)))</f>
        <v/>
      </c>
      <c r="K73" s="5" t="str">
        <f aca="false">IF(Coleta!$C35&lt;&gt;C$4,"",IF(OR(Coleta!$G35="",Coleta!$G80=""),"",IF(Coleta!$G35=Coleta!$G80,1,0)))</f>
        <v/>
      </c>
      <c r="L73" s="5" t="n">
        <f aca="false">IF(Coleta!$C35&lt;&gt;D$4,"",IF(OR(Coleta!$G35="",Coleta!$G80=""),"",IF(Coleta!$G35=Coleta!$G80,1,0)))</f>
        <v>1</v>
      </c>
    </row>
    <row r="74" customFormat="false" ht="15" hidden="false" customHeight="true" outlineLevel="0" collapsed="false">
      <c r="B74" s="36" t="n">
        <f aca="false">IF(Coleta!$C36=B$4,IF(Coleta!$M36="","",Coleta!$M36),"")</f>
        <v>9.63</v>
      </c>
      <c r="C74" s="5" t="str">
        <f aca="false">IF(Coleta!$C36=C$4,IF(Coleta!$M36="","",Coleta!$M36),"")</f>
        <v/>
      </c>
      <c r="D74" s="5" t="str">
        <f aca="false">IF(Coleta!$C36=D$4,IF(Coleta!$M36="","",Coleta!$M36),"")</f>
        <v/>
      </c>
      <c r="F74" s="37" t="n">
        <f aca="false">IF(Coleta!$C36=B$4,IF(Coleta!$N36="","",Coleta!$N36),"")</f>
        <v>7</v>
      </c>
      <c r="G74" s="5" t="str">
        <f aca="false">IF(Coleta!$C36=C$4,IF(Coleta!$N36="","",Coleta!$N36),"")</f>
        <v/>
      </c>
      <c r="H74" s="5" t="str">
        <f aca="false">IF(Coleta!$C36=D$4,IF(Coleta!$N36="","",Coleta!$N36),"")</f>
        <v/>
      </c>
      <c r="J74" s="5" t="n">
        <f aca="false">IF(Coleta!$C36&lt;&gt;B$4,"",IF(OR(Coleta!$G36="",Coleta!$G81=""),"",IF(Coleta!$G36=Coleta!$G81,1,0)))</f>
        <v>1</v>
      </c>
      <c r="K74" s="5" t="str">
        <f aca="false">IF(Coleta!$C36&lt;&gt;C$4,"",IF(OR(Coleta!$G36="",Coleta!$G81=""),"",IF(Coleta!$G36=Coleta!$G81,1,0)))</f>
        <v/>
      </c>
      <c r="L74" s="5" t="str">
        <f aca="false">IF(Coleta!$C36&lt;&gt;D$4,"",IF(OR(Coleta!$G36="",Coleta!$G81=""),"",IF(Coleta!$G36=Coleta!$G81,1,0)))</f>
        <v/>
      </c>
    </row>
    <row r="75" customFormat="false" ht="15" hidden="false" customHeight="true" outlineLevel="0" collapsed="false">
      <c r="B75" s="5" t="str">
        <f aca="false">IF(Coleta!$C37=B$4,IF(Coleta!$M37="","",Coleta!$M37),"")</f>
        <v/>
      </c>
      <c r="C75" s="36" t="n">
        <f aca="false">IF(Coleta!$C37=C$4,IF(Coleta!$M37="","",Coleta!$M37),"")</f>
        <v>5.83</v>
      </c>
      <c r="D75" s="5" t="str">
        <f aca="false">IF(Coleta!$C37=D$4,IF(Coleta!$M37="","",Coleta!$M37),"")</f>
        <v/>
      </c>
      <c r="F75" s="5" t="str">
        <f aca="false">IF(Coleta!$C37=B$4,IF(Coleta!$N37="","",Coleta!$N37),"")</f>
        <v/>
      </c>
      <c r="G75" s="37" t="n">
        <f aca="false">IF(Coleta!$C37=C$4,IF(Coleta!$N37="","",Coleta!$N37),"")</f>
        <v>8</v>
      </c>
      <c r="H75" s="5" t="str">
        <f aca="false">IF(Coleta!$C37=D$4,IF(Coleta!$N37="","",Coleta!$N37),"")</f>
        <v/>
      </c>
      <c r="J75" s="5" t="str">
        <f aca="false">IF(Coleta!$C37&lt;&gt;B$4,"",IF(OR(Coleta!$G37="",Coleta!$G82=""),"",IF(Coleta!$G37=Coleta!$G82,1,0)))</f>
        <v/>
      </c>
      <c r="K75" s="5" t="n">
        <f aca="false">IF(Coleta!$C37&lt;&gt;C$4,"",IF(OR(Coleta!$G37="",Coleta!$G82=""),"",IF(Coleta!$G37=Coleta!$G82,1,0)))</f>
        <v>1</v>
      </c>
      <c r="L75" s="5" t="str">
        <f aca="false">IF(Coleta!$C37&lt;&gt;D$4,"",IF(OR(Coleta!$G37="",Coleta!$G82=""),"",IF(Coleta!$G37=Coleta!$G82,1,0)))</f>
        <v/>
      </c>
    </row>
    <row r="76" customFormat="false" ht="15" hidden="false" customHeight="true" outlineLevel="0" collapsed="false">
      <c r="B76" s="5" t="str">
        <f aca="false">IF(Coleta!$C38=B$4,IF(Coleta!$M38="","",Coleta!$M38),"")</f>
        <v/>
      </c>
      <c r="C76" s="5" t="str">
        <f aca="false">IF(Coleta!$C38=C$4,IF(Coleta!$M38="","",Coleta!$M38),"")</f>
        <v/>
      </c>
      <c r="D76" s="36" t="n">
        <f aca="false">IF(Coleta!$C38=D$4,IF(Coleta!$M38="","",Coleta!$M38),"")</f>
        <v>7.59</v>
      </c>
      <c r="F76" s="5" t="str">
        <f aca="false">IF(Coleta!$C38=B$4,IF(Coleta!$N38="","",Coleta!$N38),"")</f>
        <v/>
      </c>
      <c r="G76" s="5" t="str">
        <f aca="false">IF(Coleta!$C38=C$4,IF(Coleta!$N38="","",Coleta!$N38),"")</f>
        <v/>
      </c>
      <c r="H76" s="37" t="n">
        <f aca="false">IF(Coleta!$C38=D$4,IF(Coleta!$N38="","",Coleta!$N38),"")</f>
        <v>10</v>
      </c>
      <c r="J76" s="5" t="str">
        <f aca="false">IF(Coleta!$C38&lt;&gt;B$4,"",IF(OR(Coleta!$G38="",Coleta!$G83=""),"",IF(Coleta!$G38=Coleta!$G83,1,0)))</f>
        <v/>
      </c>
      <c r="K76" s="5" t="str">
        <f aca="false">IF(Coleta!$C38&lt;&gt;C$4,"",IF(OR(Coleta!$G38="",Coleta!$G83=""),"",IF(Coleta!$G38=Coleta!$G83,1,0)))</f>
        <v/>
      </c>
      <c r="L76" s="5" t="n">
        <f aca="false">IF(Coleta!$C38&lt;&gt;D$4,"",IF(OR(Coleta!$G38="",Coleta!$G83=""),"",IF(Coleta!$G38=Coleta!$G83,1,0)))</f>
        <v>1</v>
      </c>
    </row>
    <row r="77" customFormat="false" ht="15" hidden="false" customHeight="true" outlineLevel="0" collapsed="false">
      <c r="B77" s="36" t="n">
        <f aca="false">IF(Coleta!$C39=B$4,IF(Coleta!$M39="","",Coleta!$M39),"")</f>
        <v>10</v>
      </c>
      <c r="C77" s="5" t="str">
        <f aca="false">IF(Coleta!$C39=C$4,IF(Coleta!$M39="","",Coleta!$M39),"")</f>
        <v/>
      </c>
      <c r="D77" s="5" t="str">
        <f aca="false">IF(Coleta!$C39=D$4,IF(Coleta!$M39="","",Coleta!$M39),"")</f>
        <v/>
      </c>
      <c r="F77" s="37" t="n">
        <f aca="false">IF(Coleta!$C39=B$4,IF(Coleta!$N39="","",Coleta!$N39),"")</f>
        <v>10</v>
      </c>
      <c r="G77" s="5" t="str">
        <f aca="false">IF(Coleta!$C39=C$4,IF(Coleta!$N39="","",Coleta!$N39),"")</f>
        <v/>
      </c>
      <c r="H77" s="5" t="str">
        <f aca="false">IF(Coleta!$C39=D$4,IF(Coleta!$N39="","",Coleta!$N39),"")</f>
        <v/>
      </c>
      <c r="J77" s="5" t="n">
        <f aca="false">IF(Coleta!$C39&lt;&gt;B$4,"",IF(OR(Coleta!$G39="",Coleta!$G84=""),"",IF(Coleta!$G39=Coleta!$G84,1,0)))</f>
        <v>1</v>
      </c>
      <c r="K77" s="5" t="str">
        <f aca="false">IF(Coleta!$C39&lt;&gt;C$4,"",IF(OR(Coleta!$G39="",Coleta!$G84=""),"",IF(Coleta!$G39=Coleta!$G84,1,0)))</f>
        <v/>
      </c>
      <c r="L77" s="5" t="str">
        <f aca="false">IF(Coleta!$C39&lt;&gt;D$4,"",IF(OR(Coleta!$G39="",Coleta!$G84=""),"",IF(Coleta!$G39=Coleta!$G84,1,0)))</f>
        <v/>
      </c>
    </row>
    <row r="78" customFormat="false" ht="15" hidden="false" customHeight="true" outlineLevel="0" collapsed="false">
      <c r="B78" s="5" t="str">
        <f aca="false">IF(Coleta!$C40=B$4,IF(Coleta!$M40="","",Coleta!$M40),"")</f>
        <v/>
      </c>
      <c r="C78" s="36" t="n">
        <f aca="false">IF(Coleta!$C40=C$4,IF(Coleta!$M40="","",Coleta!$M40),"")</f>
        <v>7.44</v>
      </c>
      <c r="D78" s="5" t="str">
        <f aca="false">IF(Coleta!$C40=D$4,IF(Coleta!$M40="","",Coleta!$M40),"")</f>
        <v/>
      </c>
      <c r="F78" s="5" t="str">
        <f aca="false">IF(Coleta!$C40=B$4,IF(Coleta!$N40="","",Coleta!$N40),"")</f>
        <v/>
      </c>
      <c r="G78" s="37" t="n">
        <f aca="false">IF(Coleta!$C40=C$4,IF(Coleta!$N40="","",Coleta!$N40),"")</f>
        <v>29</v>
      </c>
      <c r="H78" s="5" t="str">
        <f aca="false">IF(Coleta!$C40=D$4,IF(Coleta!$N40="","",Coleta!$N40),"")</f>
        <v/>
      </c>
      <c r="J78" s="5" t="str">
        <f aca="false">IF(Coleta!$C40&lt;&gt;B$4,"",IF(OR(Coleta!$G40="",Coleta!$G85=""),"",IF(Coleta!$G40=Coleta!$G85,1,0)))</f>
        <v/>
      </c>
      <c r="K78" s="5" t="n">
        <f aca="false">IF(Coleta!$C40&lt;&gt;C$4,"",IF(OR(Coleta!$G40="",Coleta!$G85=""),"",IF(Coleta!$G40=Coleta!$G85,1,0)))</f>
        <v>1</v>
      </c>
      <c r="L78" s="5" t="str">
        <f aca="false">IF(Coleta!$C40&lt;&gt;D$4,"",IF(OR(Coleta!$G40="",Coleta!$G85=""),"",IF(Coleta!$G40=Coleta!$G85,1,0)))</f>
        <v/>
      </c>
    </row>
    <row r="79" customFormat="false" ht="15" hidden="false" customHeight="true" outlineLevel="0" collapsed="false">
      <c r="B79" s="5" t="str">
        <f aca="false">IF(Coleta!$C41=B$4,IF(Coleta!$M41="","",Coleta!$M41),"")</f>
        <v/>
      </c>
      <c r="C79" s="5" t="str">
        <f aca="false">IF(Coleta!$C41=C$4,IF(Coleta!$M41="","",Coleta!$M41),"")</f>
        <v/>
      </c>
      <c r="D79" s="36" t="n">
        <f aca="false">IF(Coleta!$C41=D$4,IF(Coleta!$M41="","",Coleta!$M41),"")</f>
        <v>7.54</v>
      </c>
      <c r="F79" s="5" t="str">
        <f aca="false">IF(Coleta!$C41=B$4,IF(Coleta!$N41="","",Coleta!$N41),"")</f>
        <v/>
      </c>
      <c r="G79" s="5" t="str">
        <f aca="false">IF(Coleta!$C41=C$4,IF(Coleta!$N41="","",Coleta!$N41),"")</f>
        <v/>
      </c>
      <c r="H79" s="37" t="n">
        <f aca="false">IF(Coleta!$C41=D$4,IF(Coleta!$N41="","",Coleta!$N41),"")</f>
        <v>17</v>
      </c>
      <c r="J79" s="5" t="str">
        <f aca="false">IF(Coleta!$C41&lt;&gt;B$4,"",IF(OR(Coleta!$G41="",Coleta!$G86=""),"",IF(Coleta!$G41=Coleta!$G86,1,0)))</f>
        <v/>
      </c>
      <c r="K79" s="5" t="str">
        <f aca="false">IF(Coleta!$C41&lt;&gt;C$4,"",IF(OR(Coleta!$G41="",Coleta!$G86=""),"",IF(Coleta!$G41=Coleta!$G86,1,0)))</f>
        <v/>
      </c>
      <c r="L79" s="5" t="n">
        <f aca="false">IF(Coleta!$C41&lt;&gt;D$4,"",IF(OR(Coleta!$G41="",Coleta!$G86=""),"",IF(Coleta!$G41=Coleta!$G86,1,0)))</f>
        <v>1</v>
      </c>
    </row>
    <row r="80" customFormat="false" ht="15" hidden="false" customHeight="true" outlineLevel="0" collapsed="false">
      <c r="B80" s="36" t="n">
        <f aca="false">IF(Coleta!$C42=B$4,IF(Coleta!$M42="","",Coleta!$M42),"")</f>
        <v>8.22</v>
      </c>
      <c r="C80" s="5" t="str">
        <f aca="false">IF(Coleta!$C42=C$4,IF(Coleta!$M42="","",Coleta!$M42),"")</f>
        <v/>
      </c>
      <c r="D80" s="5" t="str">
        <f aca="false">IF(Coleta!$C42=D$4,IF(Coleta!$M42="","",Coleta!$M42),"")</f>
        <v/>
      </c>
      <c r="F80" s="37" t="n">
        <f aca="false">IF(Coleta!$C42=B$4,IF(Coleta!$N42="","",Coleta!$N42),"")</f>
        <v>28</v>
      </c>
      <c r="G80" s="5" t="str">
        <f aca="false">IF(Coleta!$C42=C$4,IF(Coleta!$N42="","",Coleta!$N42),"")</f>
        <v/>
      </c>
      <c r="H80" s="5" t="str">
        <f aca="false">IF(Coleta!$C42=D$4,IF(Coleta!$N42="","",Coleta!$N42),"")</f>
        <v/>
      </c>
      <c r="J80" s="5" t="n">
        <f aca="false">IF(Coleta!$C42&lt;&gt;B$4,"",IF(OR(Coleta!$G42="",Coleta!$G87=""),"",IF(Coleta!$G42=Coleta!$G87,1,0)))</f>
        <v>1</v>
      </c>
      <c r="K80" s="5" t="str">
        <f aca="false">IF(Coleta!$C42&lt;&gt;C$4,"",IF(OR(Coleta!$G42="",Coleta!$G87=""),"",IF(Coleta!$G42=Coleta!$G87,1,0)))</f>
        <v/>
      </c>
      <c r="L80" s="5" t="str">
        <f aca="false">IF(Coleta!$C42&lt;&gt;D$4,"",IF(OR(Coleta!$G42="",Coleta!$G87=""),"",IF(Coleta!$G42=Coleta!$G87,1,0)))</f>
        <v/>
      </c>
    </row>
    <row r="81" customFormat="false" ht="15" hidden="false" customHeight="true" outlineLevel="0" collapsed="false">
      <c r="B81" s="5" t="str">
        <f aca="false">IF(Coleta!$C43=B$4,IF(Coleta!$M43="","",Coleta!$M43),"")</f>
        <v/>
      </c>
      <c r="C81" s="36" t="n">
        <f aca="false">IF(Coleta!$C43=C$4,IF(Coleta!$M43="","",Coleta!$M43),"")</f>
        <v>5.51</v>
      </c>
      <c r="D81" s="5" t="str">
        <f aca="false">IF(Coleta!$C43=D$4,IF(Coleta!$M43="","",Coleta!$M43),"")</f>
        <v/>
      </c>
      <c r="F81" s="5" t="str">
        <f aca="false">IF(Coleta!$C43=B$4,IF(Coleta!$N43="","",Coleta!$N43),"")</f>
        <v/>
      </c>
      <c r="G81" s="37" t="n">
        <f aca="false">IF(Coleta!$C43=C$4,IF(Coleta!$N43="","",Coleta!$N43),"")</f>
        <v>25</v>
      </c>
      <c r="H81" s="5" t="str">
        <f aca="false">IF(Coleta!$C43=D$4,IF(Coleta!$N43="","",Coleta!$N43),"")</f>
        <v/>
      </c>
      <c r="J81" s="5" t="str">
        <f aca="false">IF(Coleta!$C43&lt;&gt;B$4,"",IF(OR(Coleta!$G43="",Coleta!$G88=""),"",IF(Coleta!$G43=Coleta!$G88,1,0)))</f>
        <v/>
      </c>
      <c r="K81" s="5" t="n">
        <f aca="false">IF(Coleta!$C43&lt;&gt;C$4,"",IF(OR(Coleta!$G43="",Coleta!$G88=""),"",IF(Coleta!$G43=Coleta!$G88,1,0)))</f>
        <v>1</v>
      </c>
      <c r="L81" s="5" t="str">
        <f aca="false">IF(Coleta!$C43&lt;&gt;D$4,"",IF(OR(Coleta!$G43="",Coleta!$G88=""),"",IF(Coleta!$G43=Coleta!$G88,1,0)))</f>
        <v/>
      </c>
    </row>
    <row r="82" customFormat="false" ht="15" hidden="false" customHeight="true" outlineLevel="0" collapsed="false">
      <c r="B82" s="5" t="str">
        <f aca="false">IF(Coleta!$C44=B$4,IF(Coleta!$M44="","",Coleta!$M44),"")</f>
        <v/>
      </c>
      <c r="C82" s="5" t="str">
        <f aca="false">IF(Coleta!$C44=C$4,IF(Coleta!$M44="","",Coleta!$M44),"")</f>
        <v/>
      </c>
      <c r="D82" s="36" t="n">
        <f aca="false">IF(Coleta!$C44=D$4,IF(Coleta!$M44="","",Coleta!$M44),"")</f>
        <v>8.36</v>
      </c>
      <c r="F82" s="5" t="str">
        <f aca="false">IF(Coleta!$C44=B$4,IF(Coleta!$N44="","",Coleta!$N44),"")</f>
        <v/>
      </c>
      <c r="G82" s="5" t="str">
        <f aca="false">IF(Coleta!$C44=C$4,IF(Coleta!$N44="","",Coleta!$N44),"")</f>
        <v/>
      </c>
      <c r="H82" s="37" t="n">
        <f aca="false">IF(Coleta!$C44=D$4,IF(Coleta!$N44="","",Coleta!$N44),"")</f>
        <v>18</v>
      </c>
      <c r="J82" s="5" t="str">
        <f aca="false">IF(Coleta!$C44&lt;&gt;B$4,"",IF(OR(Coleta!$G44="",Coleta!$G89=""),"",IF(Coleta!$G44=Coleta!$G89,1,0)))</f>
        <v/>
      </c>
      <c r="K82" s="5" t="str">
        <f aca="false">IF(Coleta!$C44&lt;&gt;C$4,"",IF(OR(Coleta!$G44="",Coleta!$G89=""),"",IF(Coleta!$G44=Coleta!$G89,1,0)))</f>
        <v/>
      </c>
      <c r="L82" s="5" t="n">
        <f aca="false">IF(Coleta!$C44&lt;&gt;D$4,"",IF(OR(Coleta!$G44="",Coleta!$G89=""),"",IF(Coleta!$G44=Coleta!$G89,1,0)))</f>
        <v>1</v>
      </c>
    </row>
    <row r="83" customFormat="false" ht="15" hidden="false" customHeight="true" outlineLevel="0" collapsed="false">
      <c r="B83" s="36" t="n">
        <f aca="false">IF(Coleta!$C45=B$4,IF(Coleta!$M45="","",Coleta!$M45),"")</f>
        <v>9.45</v>
      </c>
      <c r="C83" s="5" t="str">
        <f aca="false">IF(Coleta!$C45=C$4,IF(Coleta!$M45="","",Coleta!$M45),"")</f>
        <v/>
      </c>
      <c r="D83" s="5" t="str">
        <f aca="false">IF(Coleta!$C45=D$4,IF(Coleta!$M45="","",Coleta!$M45),"")</f>
        <v/>
      </c>
      <c r="F83" s="37" t="n">
        <f aca="false">IF(Coleta!$C45=B$4,IF(Coleta!$N45="","",Coleta!$N45),"")</f>
        <v>35</v>
      </c>
      <c r="G83" s="5" t="str">
        <f aca="false">IF(Coleta!$C45=C$4,IF(Coleta!$N45="","",Coleta!$N45),"")</f>
        <v/>
      </c>
      <c r="H83" s="5" t="str">
        <f aca="false">IF(Coleta!$C45=D$4,IF(Coleta!$N45="","",Coleta!$N45),"")</f>
        <v/>
      </c>
      <c r="J83" s="5" t="n">
        <f aca="false">IF(Coleta!$C45&lt;&gt;B$4,"",IF(OR(Coleta!$G45="",Coleta!$G90=""),"",IF(Coleta!$G45=Coleta!$G90,1,0)))</f>
        <v>1</v>
      </c>
      <c r="K83" s="5" t="str">
        <f aca="false">IF(Coleta!$C45&lt;&gt;C$4,"",IF(OR(Coleta!$G45="",Coleta!$G90=""),"",IF(Coleta!$G45=Coleta!$G90,1,0)))</f>
        <v/>
      </c>
      <c r="L83" s="5" t="str">
        <f aca="false">IF(Coleta!$C45&lt;&gt;D$4,"",IF(OR(Coleta!$G45="",Coleta!$G90=""),"",IF(Coleta!$G45=Coleta!$G90,1,0)))</f>
        <v/>
      </c>
    </row>
    <row r="84" customFormat="false" ht="15" hidden="false" customHeight="true" outlineLevel="0" collapsed="false">
      <c r="B84" s="5" t="str">
        <f aca="false">IF(Coleta!$C46=B$4,IF(Coleta!$M46="","",Coleta!$M46),"")</f>
        <v/>
      </c>
      <c r="C84" s="36" t="n">
        <f aca="false">IF(Coleta!$C46=C$4,IF(Coleta!$M46="","",Coleta!$M46),"")</f>
        <v>5.58</v>
      </c>
      <c r="D84" s="5" t="str">
        <f aca="false">IF(Coleta!$C46=D$4,IF(Coleta!$M46="","",Coleta!$M46),"")</f>
        <v/>
      </c>
      <c r="F84" s="5" t="str">
        <f aca="false">IF(Coleta!$C46=B$4,IF(Coleta!$N46="","",Coleta!$N46),"")</f>
        <v/>
      </c>
      <c r="G84" s="37" t="n">
        <f aca="false">IF(Coleta!$C46=C$4,IF(Coleta!$N46="","",Coleta!$N46),"")</f>
        <v>20</v>
      </c>
      <c r="H84" s="5" t="str">
        <f aca="false">IF(Coleta!$C46=D$4,IF(Coleta!$N46="","",Coleta!$N46),"")</f>
        <v/>
      </c>
      <c r="J84" s="5" t="str">
        <f aca="false">IF(Coleta!$C46&lt;&gt;B$4,"",IF(OR(Coleta!$G46="",Coleta!$G91=""),"",IF(Coleta!$G46=Coleta!$G91,1,0)))</f>
        <v/>
      </c>
      <c r="K84" s="5" t="n">
        <f aca="false">IF(Coleta!$C46&lt;&gt;C$4,"",IF(OR(Coleta!$G46="",Coleta!$G91=""),"",IF(Coleta!$G46=Coleta!$G91,1,0)))</f>
        <v>1</v>
      </c>
      <c r="L84" s="5" t="str">
        <f aca="false">IF(Coleta!$C46&lt;&gt;D$4,"",IF(OR(Coleta!$G46="",Coleta!$G91=""),"",IF(Coleta!$G46=Coleta!$G91,1,0)))</f>
        <v/>
      </c>
    </row>
    <row r="85" customFormat="false" ht="15" hidden="false" customHeight="true" outlineLevel="0" collapsed="false">
      <c r="B85" s="5" t="str">
        <f aca="false">IF(Coleta!$C47=B$4,IF(Coleta!$M47="","",Coleta!$M47),"")</f>
        <v/>
      </c>
      <c r="C85" s="5" t="str">
        <f aca="false">IF(Coleta!$C47=C$4,IF(Coleta!$M47="","",Coleta!$M47),"")</f>
        <v/>
      </c>
      <c r="D85" s="36" t="n">
        <f aca="false">IF(Coleta!$C47=D$4,IF(Coleta!$M47="","",Coleta!$M47),"")</f>
        <v>9.47</v>
      </c>
      <c r="F85" s="5" t="str">
        <f aca="false">IF(Coleta!$C47=B$4,IF(Coleta!$N47="","",Coleta!$N47),"")</f>
        <v/>
      </c>
      <c r="G85" s="5" t="str">
        <f aca="false">IF(Coleta!$C47=C$4,IF(Coleta!$N47="","",Coleta!$N47),"")</f>
        <v/>
      </c>
      <c r="H85" s="37" t="n">
        <f aca="false">IF(Coleta!$C47=D$4,IF(Coleta!$N47="","",Coleta!$N47),"")</f>
        <v>22</v>
      </c>
      <c r="J85" s="5" t="str">
        <f aca="false">IF(Coleta!$C47&lt;&gt;B$4,"",IF(OR(Coleta!$G47="",Coleta!$G92=""),"",IF(Coleta!$G47=Coleta!$G92,1,0)))</f>
        <v/>
      </c>
      <c r="K85" s="5" t="str">
        <f aca="false">IF(Coleta!$C47&lt;&gt;C$4,"",IF(OR(Coleta!$G47="",Coleta!$G92=""),"",IF(Coleta!$G47=Coleta!$G92,1,0)))</f>
        <v/>
      </c>
      <c r="L85" s="5" t="n">
        <f aca="false">IF(Coleta!$C47&lt;&gt;D$4,"",IF(OR(Coleta!$G47="",Coleta!$G92=""),"",IF(Coleta!$G47=Coleta!$G92,1,0)))</f>
        <v>1</v>
      </c>
    </row>
    <row r="86" customFormat="false" ht="15" hidden="false" customHeight="true" outlineLevel="0" collapsed="false">
      <c r="B86" s="36" t="n">
        <f aca="false">IF(Coleta!$C48=B$4,IF(Coleta!$M48="","",Coleta!$M48),"")</f>
        <v>10</v>
      </c>
      <c r="C86" s="5" t="str">
        <f aca="false">IF(Coleta!$C48=C$4,IF(Coleta!$M48="","",Coleta!$M48),"")</f>
        <v/>
      </c>
      <c r="D86" s="5" t="str">
        <f aca="false">IF(Coleta!$C48=D$4,IF(Coleta!$M48="","",Coleta!$M48),"")</f>
        <v/>
      </c>
      <c r="F86" s="37" t="n">
        <f aca="false">IF(Coleta!$C48=B$4,IF(Coleta!$N48="","",Coleta!$N48),"")</f>
        <v>7</v>
      </c>
      <c r="G86" s="5" t="str">
        <f aca="false">IF(Coleta!$C48=C$4,IF(Coleta!$N48="","",Coleta!$N48),"")</f>
        <v/>
      </c>
      <c r="H86" s="5" t="str">
        <f aca="false">IF(Coleta!$C48=D$4,IF(Coleta!$N48="","",Coleta!$N48),"")</f>
        <v/>
      </c>
    </row>
    <row r="87" customFormat="false" ht="15" hidden="false" customHeight="true" outlineLevel="0" collapsed="false">
      <c r="B87" s="5" t="str">
        <f aca="false">IF(Coleta!$C49=B$4,IF(Coleta!$M49="","",Coleta!$M49),"")</f>
        <v/>
      </c>
      <c r="C87" s="36" t="n">
        <f aca="false">IF(Coleta!$C49=C$4,IF(Coleta!$M49="","",Coleta!$M49),"")</f>
        <v>10</v>
      </c>
      <c r="D87" s="5" t="str">
        <f aca="false">IF(Coleta!$C49=D$4,IF(Coleta!$M49="","",Coleta!$M49),"")</f>
        <v/>
      </c>
      <c r="F87" s="5" t="str">
        <f aca="false">IF(Coleta!$C49=B$4,IF(Coleta!$N49="","",Coleta!$N49),"")</f>
        <v/>
      </c>
      <c r="G87" s="37" t="n">
        <f aca="false">IF(Coleta!$C49=C$4,IF(Coleta!$N49="","",Coleta!$N49),"")</f>
        <v>10</v>
      </c>
      <c r="H87" s="5" t="str">
        <f aca="false">IF(Coleta!$C49=D$4,IF(Coleta!$N49="","",Coleta!$N49),"")</f>
        <v/>
      </c>
    </row>
    <row r="88" customFormat="false" ht="15" hidden="false" customHeight="true" outlineLevel="0" collapsed="false">
      <c r="B88" s="5" t="str">
        <f aca="false">IF(Coleta!$C50=B$4,IF(Coleta!$M50="","",Coleta!$M50),"")</f>
        <v/>
      </c>
      <c r="C88" s="5" t="str">
        <f aca="false">IF(Coleta!$C50=C$4,IF(Coleta!$M50="","",Coleta!$M50),"")</f>
        <v/>
      </c>
      <c r="D88" s="36" t="n">
        <f aca="false">IF(Coleta!$C50=D$4,IF(Coleta!$M50="","",Coleta!$M50),"")</f>
        <v>9.12</v>
      </c>
      <c r="F88" s="5" t="str">
        <f aca="false">IF(Coleta!$C50=B$4,IF(Coleta!$N50="","",Coleta!$N50),"")</f>
        <v/>
      </c>
      <c r="G88" s="5" t="str">
        <f aca="false">IF(Coleta!$C50=C$4,IF(Coleta!$N50="","",Coleta!$N50),"")</f>
        <v/>
      </c>
      <c r="H88" s="37" t="n">
        <f aca="false">IF(Coleta!$C50=D$4,IF(Coleta!$N50="","",Coleta!$N50),"")</f>
        <v>7</v>
      </c>
    </row>
    <row r="89" customFormat="false" ht="15" hidden="false" customHeight="true" outlineLevel="0" collapsed="false">
      <c r="B89" s="36" t="n">
        <f aca="false">IF(Coleta!$C51=B$4,IF(Coleta!$M51="","",Coleta!$M51),"")</f>
        <v>10</v>
      </c>
      <c r="C89" s="5" t="str">
        <f aca="false">IF(Coleta!$C51=C$4,IF(Coleta!$M51="","",Coleta!$M51),"")</f>
        <v/>
      </c>
      <c r="D89" s="5" t="str">
        <f aca="false">IF(Coleta!$C51=D$4,IF(Coleta!$M51="","",Coleta!$M51),"")</f>
        <v/>
      </c>
      <c r="F89" s="37" t="n">
        <f aca="false">IF(Coleta!$C51=B$4,IF(Coleta!$N51="","",Coleta!$N51),"")</f>
        <v>4</v>
      </c>
      <c r="G89" s="5" t="str">
        <f aca="false">IF(Coleta!$C51=C$4,IF(Coleta!$N51="","",Coleta!$N51),"")</f>
        <v/>
      </c>
      <c r="H89" s="5" t="str">
        <f aca="false">IF(Coleta!$C51=D$4,IF(Coleta!$N51="","",Coleta!$N51),"")</f>
        <v/>
      </c>
    </row>
    <row r="90" customFormat="false" ht="15" hidden="false" customHeight="true" outlineLevel="0" collapsed="false">
      <c r="B90" s="5" t="str">
        <f aca="false">IF(Coleta!$C52=B$4,IF(Coleta!$M52="","",Coleta!$M52),"")</f>
        <v/>
      </c>
      <c r="C90" s="36" t="n">
        <f aca="false">IF(Coleta!$C52=C$4,IF(Coleta!$M52="","",Coleta!$M52),"")</f>
        <v>7.33</v>
      </c>
      <c r="D90" s="5" t="str">
        <f aca="false">IF(Coleta!$C52=D$4,IF(Coleta!$M52="","",Coleta!$M52),"")</f>
        <v/>
      </c>
      <c r="F90" s="5" t="str">
        <f aca="false">IF(Coleta!$C52=B$4,IF(Coleta!$N52="","",Coleta!$N52),"")</f>
        <v/>
      </c>
      <c r="G90" s="37" t="n">
        <f aca="false">IF(Coleta!$C52=C$4,IF(Coleta!$N52="","",Coleta!$N52),"")</f>
        <v>6</v>
      </c>
      <c r="H90" s="5" t="str">
        <f aca="false">IF(Coleta!$C52=D$4,IF(Coleta!$N52="","",Coleta!$N52),"")</f>
        <v/>
      </c>
    </row>
    <row r="91" customFormat="false" ht="15" hidden="false" customHeight="true" outlineLevel="0" collapsed="false">
      <c r="B91" s="5" t="str">
        <f aca="false">IF(Coleta!$C53=B$4,IF(Coleta!$M53="","",Coleta!$M53),"")</f>
        <v/>
      </c>
      <c r="C91" s="5" t="str">
        <f aca="false">IF(Coleta!$C53=C$4,IF(Coleta!$M53="","",Coleta!$M53),"")</f>
        <v/>
      </c>
      <c r="D91" s="36" t="n">
        <f aca="false">IF(Coleta!$C53=D$4,IF(Coleta!$M53="","",Coleta!$M53),"")</f>
        <v>8.12</v>
      </c>
      <c r="F91" s="5" t="str">
        <f aca="false">IF(Coleta!$C53=B$4,IF(Coleta!$N53="","",Coleta!$N53),"")</f>
        <v/>
      </c>
      <c r="G91" s="5" t="str">
        <f aca="false">IF(Coleta!$C53=C$4,IF(Coleta!$N53="","",Coleta!$N53),"")</f>
        <v/>
      </c>
      <c r="H91" s="37" t="n">
        <f aca="false">IF(Coleta!$C53=D$4,IF(Coleta!$N53="","",Coleta!$N53),"")</f>
        <v>5</v>
      </c>
    </row>
    <row r="92" customFormat="false" ht="15" hidden="false" customHeight="true" outlineLevel="0" collapsed="false">
      <c r="B92" s="36" t="n">
        <f aca="false">IF(Coleta!$C54=B$4,IF(Coleta!$M54="","",Coleta!$M54),"")</f>
        <v>10</v>
      </c>
      <c r="C92" s="5" t="str">
        <f aca="false">IF(Coleta!$C54=C$4,IF(Coleta!$M54="","",Coleta!$M54),"")</f>
        <v/>
      </c>
      <c r="D92" s="5" t="str">
        <f aca="false">IF(Coleta!$C54=D$4,IF(Coleta!$M54="","",Coleta!$M54),"")</f>
        <v/>
      </c>
      <c r="F92" s="37" t="n">
        <f aca="false">IF(Coleta!$C54=B$4,IF(Coleta!$N54="","",Coleta!$N54),"")</f>
        <v>5</v>
      </c>
      <c r="G92" s="5" t="str">
        <f aca="false">IF(Coleta!$C54=C$4,IF(Coleta!$N54="","",Coleta!$N54),"")</f>
        <v/>
      </c>
      <c r="H92" s="5" t="str">
        <f aca="false">IF(Coleta!$C54=D$4,IF(Coleta!$N54="","",Coleta!$N54),"")</f>
        <v/>
      </c>
    </row>
    <row r="93" customFormat="false" ht="15" hidden="false" customHeight="true" outlineLevel="0" collapsed="false">
      <c r="B93" s="5" t="str">
        <f aca="false">IF(Coleta!$C55=B$4,IF(Coleta!$M55="","",Coleta!$M55),"")</f>
        <v/>
      </c>
      <c r="C93" s="36" t="n">
        <f aca="false">IF(Coleta!$C55=C$4,IF(Coleta!$M55="","",Coleta!$M55),"")</f>
        <v>7.62</v>
      </c>
      <c r="D93" s="5" t="str">
        <f aca="false">IF(Coleta!$C55=D$4,IF(Coleta!$M55="","",Coleta!$M55),"")</f>
        <v/>
      </c>
      <c r="F93" s="5" t="str">
        <f aca="false">IF(Coleta!$C55=B$4,IF(Coleta!$N55="","",Coleta!$N55),"")</f>
        <v/>
      </c>
      <c r="G93" s="37" t="n">
        <f aca="false">IF(Coleta!$C55=C$4,IF(Coleta!$N55="","",Coleta!$N55),"")</f>
        <v>6</v>
      </c>
      <c r="H93" s="5" t="str">
        <f aca="false">IF(Coleta!$C55=D$4,IF(Coleta!$N55="","",Coleta!$N55),"")</f>
        <v/>
      </c>
    </row>
    <row r="94" customFormat="false" ht="15" hidden="false" customHeight="true" outlineLevel="0" collapsed="false">
      <c r="B94" s="5" t="str">
        <f aca="false">IF(Coleta!$C56=B$4,IF(Coleta!$M56="","",Coleta!$M56),"")</f>
        <v/>
      </c>
      <c r="C94" s="5" t="str">
        <f aca="false">IF(Coleta!$C56=C$4,IF(Coleta!$M56="","",Coleta!$M56),"")</f>
        <v/>
      </c>
      <c r="D94" s="36" t="n">
        <f aca="false">IF(Coleta!$C56=D$4,IF(Coleta!$M56="","",Coleta!$M56),"")</f>
        <v>7.27</v>
      </c>
      <c r="F94" s="5" t="str">
        <f aca="false">IF(Coleta!$C56=B$4,IF(Coleta!$N56="","",Coleta!$N56),"")</f>
        <v/>
      </c>
      <c r="G94" s="5" t="str">
        <f aca="false">IF(Coleta!$C56=C$4,IF(Coleta!$N56="","",Coleta!$N56),"")</f>
        <v/>
      </c>
      <c r="H94" s="37" t="n">
        <f aca="false">IF(Coleta!$C56=D$4,IF(Coleta!$N56="","",Coleta!$N56),"")</f>
        <v>5</v>
      </c>
    </row>
    <row r="95" customFormat="false" ht="15" hidden="false" customHeight="true" outlineLevel="0" collapsed="false">
      <c r="B95" s="36" t="n">
        <f aca="false">IF(Coleta!$C57=B$4,IF(Coleta!$M57="","",Coleta!$M57),"")</f>
        <v>10</v>
      </c>
      <c r="C95" s="5" t="str">
        <f aca="false">IF(Coleta!$C57=C$4,IF(Coleta!$M57="","",Coleta!$M57),"")</f>
        <v/>
      </c>
      <c r="D95" s="5" t="str">
        <f aca="false">IF(Coleta!$C57=D$4,IF(Coleta!$M57="","",Coleta!$M57),"")</f>
        <v/>
      </c>
      <c r="F95" s="37" t="n">
        <f aca="false">IF(Coleta!$C57=B$4,IF(Coleta!$N57="","",Coleta!$N57),"")</f>
        <v>3</v>
      </c>
      <c r="G95" s="5" t="str">
        <f aca="false">IF(Coleta!$C57=C$4,IF(Coleta!$N57="","",Coleta!$N57),"")</f>
        <v/>
      </c>
      <c r="H95" s="5" t="str">
        <f aca="false">IF(Coleta!$C57=D$4,IF(Coleta!$N57="","",Coleta!$N57),"")</f>
        <v/>
      </c>
    </row>
    <row r="96" customFormat="false" ht="15" hidden="false" customHeight="true" outlineLevel="0" collapsed="false">
      <c r="B96" s="5" t="str">
        <f aca="false">IF(Coleta!$C58=B$4,IF(Coleta!$M58="","",Coleta!$M58),"")</f>
        <v/>
      </c>
      <c r="C96" s="36" t="n">
        <f aca="false">IF(Coleta!$C58=C$4,IF(Coleta!$M58="","",Coleta!$M58),"")</f>
        <v>7.6</v>
      </c>
      <c r="D96" s="5" t="str">
        <f aca="false">IF(Coleta!$C58=D$4,IF(Coleta!$M58="","",Coleta!$M58),"")</f>
        <v/>
      </c>
      <c r="F96" s="5" t="str">
        <f aca="false">IF(Coleta!$C58=B$4,IF(Coleta!$N58="","",Coleta!$N58),"")</f>
        <v/>
      </c>
      <c r="G96" s="37" t="n">
        <f aca="false">IF(Coleta!$C58=C$4,IF(Coleta!$N58="","",Coleta!$N58),"")</f>
        <v>8</v>
      </c>
      <c r="H96" s="5" t="str">
        <f aca="false">IF(Coleta!$C58=D$4,IF(Coleta!$N58="","",Coleta!$N58),"")</f>
        <v/>
      </c>
    </row>
    <row r="97" customFormat="false" ht="15" hidden="false" customHeight="true" outlineLevel="0" collapsed="false">
      <c r="B97" s="5" t="str">
        <f aca="false">IF(Coleta!$C59=B$4,IF(Coleta!$M59="","",Coleta!$M59),"")</f>
        <v/>
      </c>
      <c r="C97" s="5" t="str">
        <f aca="false">IF(Coleta!$C59=C$4,IF(Coleta!$M59="","",Coleta!$M59),"")</f>
        <v/>
      </c>
      <c r="D97" s="36" t="n">
        <f aca="false">IF(Coleta!$C59=D$4,IF(Coleta!$M59="","",Coleta!$M59),"")</f>
        <v>8.5</v>
      </c>
      <c r="F97" s="5" t="str">
        <f aca="false">IF(Coleta!$C59=B$4,IF(Coleta!$N59="","",Coleta!$N59),"")</f>
        <v/>
      </c>
      <c r="G97" s="5" t="str">
        <f aca="false">IF(Coleta!$C59=C$4,IF(Coleta!$N59="","",Coleta!$N59),"")</f>
        <v/>
      </c>
      <c r="H97" s="37" t="n">
        <f aca="false">IF(Coleta!$C59=D$4,IF(Coleta!$N59="","",Coleta!$N59),"")</f>
        <v>4</v>
      </c>
    </row>
    <row r="98" customFormat="false" ht="15" hidden="false" customHeight="true" outlineLevel="0" collapsed="false">
      <c r="B98" s="36" t="n">
        <f aca="false">IF(Coleta!$C60=B$4,IF(Coleta!$M60="","",Coleta!$M60),"")</f>
        <v>10</v>
      </c>
      <c r="C98" s="5" t="str">
        <f aca="false">IF(Coleta!$C60=C$4,IF(Coleta!$M60="","",Coleta!$M60),"")</f>
        <v/>
      </c>
      <c r="D98" s="5" t="str">
        <f aca="false">IF(Coleta!$C60=D$4,IF(Coleta!$M60="","",Coleta!$M60),"")</f>
        <v/>
      </c>
      <c r="F98" s="37" t="n">
        <f aca="false">IF(Coleta!$C60=B$4,IF(Coleta!$N60="","",Coleta!$N60),"")</f>
        <v>1</v>
      </c>
      <c r="G98" s="5" t="str">
        <f aca="false">IF(Coleta!$C60=C$4,IF(Coleta!$N60="","",Coleta!$N60),"")</f>
        <v/>
      </c>
      <c r="H98" s="5" t="str">
        <f aca="false">IF(Coleta!$C60=D$4,IF(Coleta!$N60="","",Coleta!$N60),"")</f>
        <v/>
      </c>
    </row>
    <row r="99" customFormat="false" ht="15" hidden="false" customHeight="true" outlineLevel="0" collapsed="false">
      <c r="B99" s="5" t="str">
        <f aca="false">IF(Coleta!$C61=B$4,IF(Coleta!$M61="","",Coleta!$M61),"")</f>
        <v/>
      </c>
      <c r="C99" s="36" t="n">
        <f aca="false">IF(Coleta!$C61=C$4,IF(Coleta!$M61="","",Coleta!$M61),"")</f>
        <v>5.56</v>
      </c>
      <c r="D99" s="5" t="str">
        <f aca="false">IF(Coleta!$C61=D$4,IF(Coleta!$M61="","",Coleta!$M61),"")</f>
        <v/>
      </c>
      <c r="F99" s="5" t="str">
        <f aca="false">IF(Coleta!$C61=B$4,IF(Coleta!$N61="","",Coleta!$N61),"")</f>
        <v/>
      </c>
      <c r="G99" s="37" t="n">
        <f aca="false">IF(Coleta!$C61=C$4,IF(Coleta!$N61="","",Coleta!$N61),"")</f>
        <v>3</v>
      </c>
      <c r="H99" s="5" t="str">
        <f aca="false">IF(Coleta!$C61=D$4,IF(Coleta!$N61="","",Coleta!$N61),"")</f>
        <v/>
      </c>
    </row>
    <row r="100" customFormat="false" ht="15" hidden="false" customHeight="true" outlineLevel="0" collapsed="false">
      <c r="B100" s="5" t="str">
        <f aca="false">IF(Coleta!$C62=B$4,IF(Coleta!$M62="","",Coleta!$M62),"")</f>
        <v/>
      </c>
      <c r="C100" s="5" t="str">
        <f aca="false">IF(Coleta!$C62=C$4,IF(Coleta!$M62="","",Coleta!$M62),"")</f>
        <v/>
      </c>
      <c r="D100" s="36" t="n">
        <f aca="false">IF(Coleta!$C62=D$4,IF(Coleta!$M62="","",Coleta!$M62),"")</f>
        <v>10</v>
      </c>
      <c r="F100" s="5" t="str">
        <f aca="false">IF(Coleta!$C62=B$4,IF(Coleta!$N62="","",Coleta!$N62),"")</f>
        <v/>
      </c>
      <c r="G100" s="5" t="str">
        <f aca="false">IF(Coleta!$C62=C$4,IF(Coleta!$N62="","",Coleta!$N62),"")</f>
        <v/>
      </c>
      <c r="H100" s="37" t="n">
        <f aca="false">IF(Coleta!$C62=D$4,IF(Coleta!$N62="","",Coleta!$N62),"")</f>
        <v>1</v>
      </c>
    </row>
    <row r="101" customFormat="false" ht="15" hidden="false" customHeight="true" outlineLevel="0" collapsed="false">
      <c r="B101" s="36" t="n">
        <f aca="false">IF(Coleta!$C63=B$4,IF(Coleta!$M63="","",Coleta!$M63),"")</f>
        <v>8</v>
      </c>
      <c r="C101" s="5" t="str">
        <f aca="false">IF(Coleta!$C63=C$4,IF(Coleta!$M63="","",Coleta!$M63),"")</f>
        <v/>
      </c>
      <c r="D101" s="5" t="str">
        <f aca="false">IF(Coleta!$C63=D$4,IF(Coleta!$M63="","",Coleta!$M63),"")</f>
        <v/>
      </c>
      <c r="F101" s="37" t="n">
        <f aca="false">IF(Coleta!$C63=B$4,IF(Coleta!$N63="","",Coleta!$N63),"")</f>
        <v>3</v>
      </c>
      <c r="G101" s="5" t="str">
        <f aca="false">IF(Coleta!$C63=C$4,IF(Coleta!$N63="","",Coleta!$N63),"")</f>
        <v/>
      </c>
      <c r="H101" s="5" t="str">
        <f aca="false">IF(Coleta!$C63=D$4,IF(Coleta!$N63="","",Coleta!$N63),"")</f>
        <v/>
      </c>
    </row>
    <row r="102" customFormat="false" ht="15" hidden="false" customHeight="true" outlineLevel="0" collapsed="false">
      <c r="B102" s="5" t="str">
        <f aca="false">IF(Coleta!$C64=B$4,IF(Coleta!$M64="","",Coleta!$M64),"")</f>
        <v/>
      </c>
      <c r="C102" s="36" t="n">
        <f aca="false">IF(Coleta!$C64=C$4,IF(Coleta!$M64="","",Coleta!$M64),"")</f>
        <v>7.27</v>
      </c>
      <c r="D102" s="5" t="str">
        <f aca="false">IF(Coleta!$C64=D$4,IF(Coleta!$M64="","",Coleta!$M64),"")</f>
        <v/>
      </c>
      <c r="F102" s="5" t="str">
        <f aca="false">IF(Coleta!$C64=B$4,IF(Coleta!$N64="","",Coleta!$N64),"")</f>
        <v/>
      </c>
      <c r="G102" s="37" t="n">
        <f aca="false">IF(Coleta!$C64=C$4,IF(Coleta!$N64="","",Coleta!$N64),"")</f>
        <v>7</v>
      </c>
      <c r="H102" s="5" t="str">
        <f aca="false">IF(Coleta!$C64=D$4,IF(Coleta!$N64="","",Coleta!$N64),"")</f>
        <v/>
      </c>
    </row>
    <row r="103" customFormat="false" ht="15" hidden="false" customHeight="true" outlineLevel="0" collapsed="false">
      <c r="B103" s="5" t="str">
        <f aca="false">IF(Coleta!$C65=B$4,IF(Coleta!$M65="","",Coleta!$M65),"")</f>
        <v/>
      </c>
      <c r="C103" s="5" t="str">
        <f aca="false">IF(Coleta!$C65=C$4,IF(Coleta!$M65="","",Coleta!$M65),"")</f>
        <v/>
      </c>
      <c r="D103" s="36" t="n">
        <f aca="false">IF(Coleta!$C65=D$4,IF(Coleta!$M65="","",Coleta!$M65),"")</f>
        <v>8.24</v>
      </c>
      <c r="F103" s="5" t="str">
        <f aca="false">IF(Coleta!$C65=B$4,IF(Coleta!$N65="","",Coleta!$N65),"")</f>
        <v/>
      </c>
      <c r="G103" s="5" t="str">
        <f aca="false">IF(Coleta!$C65=C$4,IF(Coleta!$N65="","",Coleta!$N65),"")</f>
        <v/>
      </c>
      <c r="H103" s="37" t="n">
        <f aca="false">IF(Coleta!$C65=D$4,IF(Coleta!$N65="","",Coleta!$N65),"")</f>
        <v>3</v>
      </c>
    </row>
    <row r="104" customFormat="false" ht="15" hidden="false" customHeight="true" outlineLevel="0" collapsed="false">
      <c r="B104" s="36" t="n">
        <f aca="false">IF(Coleta!$C66=B$4,IF(Coleta!$M66="","",Coleta!$M66),"")</f>
        <v>6</v>
      </c>
      <c r="C104" s="5" t="str">
        <f aca="false">IF(Coleta!$C66=C$4,IF(Coleta!$M66="","",Coleta!$M66),"")</f>
        <v/>
      </c>
      <c r="D104" s="5" t="str">
        <f aca="false">IF(Coleta!$C66=D$4,IF(Coleta!$M66="","",Coleta!$M66),"")</f>
        <v/>
      </c>
      <c r="F104" s="37" t="n">
        <f aca="false">IF(Coleta!$C66=B$4,IF(Coleta!$N66="","",Coleta!$N66),"")</f>
        <v>13</v>
      </c>
      <c r="G104" s="5" t="str">
        <f aca="false">IF(Coleta!$C66=C$4,IF(Coleta!$N66="","",Coleta!$N66),"")</f>
        <v/>
      </c>
      <c r="H104" s="5" t="str">
        <f aca="false">IF(Coleta!$C66=D$4,IF(Coleta!$N66="","",Coleta!$N66),"")</f>
        <v/>
      </c>
    </row>
    <row r="105" customFormat="false" ht="15" hidden="false" customHeight="true" outlineLevel="0" collapsed="false">
      <c r="B105" s="5" t="str">
        <f aca="false">IF(Coleta!$C67=B$4,IF(Coleta!$M67="","",Coleta!$M67),"")</f>
        <v/>
      </c>
      <c r="C105" s="36" t="n">
        <f aca="false">IF(Coleta!$C67=C$4,IF(Coleta!$M67="","",Coleta!$M67),"")</f>
        <v>8</v>
      </c>
      <c r="D105" s="5" t="str">
        <f aca="false">IF(Coleta!$C67=D$4,IF(Coleta!$M67="","",Coleta!$M67),"")</f>
        <v/>
      </c>
      <c r="F105" s="5" t="str">
        <f aca="false">IF(Coleta!$C67=B$4,IF(Coleta!$N67="","",Coleta!$N67),"")</f>
        <v/>
      </c>
      <c r="G105" s="37" t="n">
        <f aca="false">IF(Coleta!$C67=C$4,IF(Coleta!$N67="","",Coleta!$N67),"")</f>
        <v>12</v>
      </c>
      <c r="H105" s="5" t="str">
        <f aca="false">IF(Coleta!$C67=D$4,IF(Coleta!$N67="","",Coleta!$N67),"")</f>
        <v/>
      </c>
    </row>
    <row r="106" customFormat="false" ht="15" hidden="false" customHeight="true" outlineLevel="0" collapsed="false">
      <c r="B106" s="5" t="str">
        <f aca="false">IF(Coleta!$C68=B$4,IF(Coleta!$M68="","",Coleta!$M68),"")</f>
        <v/>
      </c>
      <c r="C106" s="5" t="str">
        <f aca="false">IF(Coleta!$C68=C$4,IF(Coleta!$M68="","",Coleta!$M68),"")</f>
        <v/>
      </c>
      <c r="D106" s="36" t="n">
        <f aca="false">IF(Coleta!$C68=D$4,IF(Coleta!$M68="","",Coleta!$M68),"")</f>
        <v>9.05</v>
      </c>
      <c r="F106" s="5" t="str">
        <f aca="false">IF(Coleta!$C68=B$4,IF(Coleta!$N68="","",Coleta!$N68),"")</f>
        <v/>
      </c>
      <c r="G106" s="5" t="str">
        <f aca="false">IF(Coleta!$C68=C$4,IF(Coleta!$N68="","",Coleta!$N68),"")</f>
        <v/>
      </c>
      <c r="H106" s="37" t="n">
        <f aca="false">IF(Coleta!$C68=D$4,IF(Coleta!$N68="","",Coleta!$N68),"")</f>
        <v>10</v>
      </c>
    </row>
    <row r="107" customFormat="false" ht="15" hidden="false" customHeight="true" outlineLevel="0" collapsed="false">
      <c r="B107" s="36" t="n">
        <f aca="false">IF(Coleta!$C69=B$4,IF(Coleta!$M69="","",Coleta!$M69),"")</f>
        <v>9.71</v>
      </c>
      <c r="C107" s="5" t="str">
        <f aca="false">IF(Coleta!$C69=C$4,IF(Coleta!$M69="","",Coleta!$M69),"")</f>
        <v/>
      </c>
      <c r="D107" s="5" t="str">
        <f aca="false">IF(Coleta!$C69=D$4,IF(Coleta!$M69="","",Coleta!$M69),"")</f>
        <v/>
      </c>
      <c r="F107" s="37" t="n">
        <f aca="false">IF(Coleta!$C69=B$4,IF(Coleta!$N69="","",Coleta!$N69),"")</f>
        <v>11</v>
      </c>
      <c r="G107" s="5" t="str">
        <f aca="false">IF(Coleta!$C69=C$4,IF(Coleta!$N69="","",Coleta!$N69),"")</f>
        <v/>
      </c>
      <c r="H107" s="5" t="str">
        <f aca="false">IF(Coleta!$C69=D$4,IF(Coleta!$N69="","",Coleta!$N69),"")</f>
        <v/>
      </c>
    </row>
    <row r="108" customFormat="false" ht="15" hidden="false" customHeight="true" outlineLevel="0" collapsed="false">
      <c r="B108" s="5" t="str">
        <f aca="false">IF(Coleta!$C70=B$4,IF(Coleta!$M70="","",Coleta!$M70),"")</f>
        <v/>
      </c>
      <c r="C108" s="36" t="n">
        <f aca="false">IF(Coleta!$C70=C$4,IF(Coleta!$M70="","",Coleta!$M70),"")</f>
        <v>7.86</v>
      </c>
      <c r="D108" s="5" t="str">
        <f aca="false">IF(Coleta!$C70=D$4,IF(Coleta!$M70="","",Coleta!$M70),"")</f>
        <v/>
      </c>
      <c r="F108" s="5" t="str">
        <f aca="false">IF(Coleta!$C70=B$4,IF(Coleta!$N70="","",Coleta!$N70),"")</f>
        <v/>
      </c>
      <c r="G108" s="37" t="n">
        <f aca="false">IF(Coleta!$C70=C$4,IF(Coleta!$N70="","",Coleta!$N70),"")</f>
        <v>9</v>
      </c>
      <c r="H108" s="5" t="str">
        <f aca="false">IF(Coleta!$C70=D$4,IF(Coleta!$N70="","",Coleta!$N70),"")</f>
        <v/>
      </c>
    </row>
    <row r="109" customFormat="false" ht="15" hidden="false" customHeight="true" outlineLevel="0" collapsed="false">
      <c r="B109" s="5" t="str">
        <f aca="false">IF(Coleta!$C71=B$4,IF(Coleta!$M71="","",Coleta!$M71),"")</f>
        <v/>
      </c>
      <c r="C109" s="5" t="str">
        <f aca="false">IF(Coleta!$C71=C$4,IF(Coleta!$M71="","",Coleta!$M71),"")</f>
        <v/>
      </c>
      <c r="D109" s="36" t="n">
        <f aca="false">IF(Coleta!$C71=D$4,IF(Coleta!$M71="","",Coleta!$M71),"")</f>
        <v>9.51</v>
      </c>
      <c r="F109" s="5" t="str">
        <f aca="false">IF(Coleta!$C71=B$4,IF(Coleta!$N71="","",Coleta!$N71),"")</f>
        <v/>
      </c>
      <c r="G109" s="5" t="str">
        <f aca="false">IF(Coleta!$C71=C$4,IF(Coleta!$N71="","",Coleta!$N71),"")</f>
        <v/>
      </c>
      <c r="H109" s="37" t="n">
        <f aca="false">IF(Coleta!$C71=D$4,IF(Coleta!$N71="","",Coleta!$N71),"")</f>
        <v>12</v>
      </c>
    </row>
    <row r="110" customFormat="false" ht="15" hidden="false" customHeight="true" outlineLevel="0" collapsed="false">
      <c r="B110" s="36" t="n">
        <f aca="false">IF(Coleta!$C72=B$4,IF(Coleta!$M72="","",Coleta!$M72),"")</f>
        <v>10</v>
      </c>
      <c r="C110" s="5" t="str">
        <f aca="false">IF(Coleta!$C72=C$4,IF(Coleta!$M72="","",Coleta!$M72),"")</f>
        <v/>
      </c>
      <c r="D110" s="5" t="str">
        <f aca="false">IF(Coleta!$C72=D$4,IF(Coleta!$M72="","",Coleta!$M72),"")</f>
        <v/>
      </c>
      <c r="F110" s="37" t="n">
        <f aca="false">IF(Coleta!$C72=B$4,IF(Coleta!$N72="","",Coleta!$N72),"")</f>
        <v>8</v>
      </c>
      <c r="G110" s="5" t="str">
        <f aca="false">IF(Coleta!$C72=C$4,IF(Coleta!$N72="","",Coleta!$N72),"")</f>
        <v/>
      </c>
      <c r="H110" s="5" t="str">
        <f aca="false">IF(Coleta!$C72=D$4,IF(Coleta!$N72="","",Coleta!$N72),"")</f>
        <v/>
      </c>
    </row>
    <row r="111" customFormat="false" ht="15" hidden="false" customHeight="true" outlineLevel="0" collapsed="false">
      <c r="B111" s="5" t="str">
        <f aca="false">IF(Coleta!$C73=B$4,IF(Coleta!$M73="","",Coleta!$M73),"")</f>
        <v/>
      </c>
      <c r="C111" s="36" t="n">
        <f aca="false">IF(Coleta!$C73=C$4,IF(Coleta!$M73="","",Coleta!$M73),"")</f>
        <v>7.57</v>
      </c>
      <c r="D111" s="5" t="str">
        <f aca="false">IF(Coleta!$C73=D$4,IF(Coleta!$M73="","",Coleta!$M73),"")</f>
        <v/>
      </c>
      <c r="F111" s="5" t="str">
        <f aca="false">IF(Coleta!$C73=B$4,IF(Coleta!$N73="","",Coleta!$N73),"")</f>
        <v/>
      </c>
      <c r="G111" s="37" t="n">
        <f aca="false">IF(Coleta!$C73=C$4,IF(Coleta!$N73="","",Coleta!$N73),"")</f>
        <v>11</v>
      </c>
      <c r="H111" s="5" t="str">
        <f aca="false">IF(Coleta!$C73=D$4,IF(Coleta!$N73="","",Coleta!$N73),"")</f>
        <v/>
      </c>
    </row>
    <row r="112" customFormat="false" ht="15" hidden="false" customHeight="true" outlineLevel="0" collapsed="false">
      <c r="B112" s="5" t="str">
        <f aca="false">IF(Coleta!$C74=B$4,IF(Coleta!$M74="","",Coleta!$M74),"")</f>
        <v/>
      </c>
      <c r="C112" s="5" t="str">
        <f aca="false">IF(Coleta!$C74=C$4,IF(Coleta!$M74="","",Coleta!$M74),"")</f>
        <v/>
      </c>
      <c r="D112" s="36" t="n">
        <f aca="false">IF(Coleta!$C74=D$4,IF(Coleta!$M74="","",Coleta!$M74),"")</f>
        <v>9.38</v>
      </c>
      <c r="F112" s="5" t="str">
        <f aca="false">IF(Coleta!$C74=B$4,IF(Coleta!$N74="","",Coleta!$N74),"")</f>
        <v/>
      </c>
      <c r="G112" s="5" t="str">
        <f aca="false">IF(Coleta!$C74=C$4,IF(Coleta!$N74="","",Coleta!$N74),"")</f>
        <v/>
      </c>
      <c r="H112" s="37" t="n">
        <f aca="false">IF(Coleta!$C74=D$4,IF(Coleta!$N74="","",Coleta!$N74),"")</f>
        <v>7</v>
      </c>
    </row>
    <row r="113" customFormat="false" ht="15" hidden="false" customHeight="true" outlineLevel="0" collapsed="false">
      <c r="B113" s="36" t="n">
        <f aca="false">IF(Coleta!$C75=B$4,IF(Coleta!$M75="","",Coleta!$M75),"")</f>
        <v>9.44</v>
      </c>
      <c r="C113" s="5" t="str">
        <f aca="false">IF(Coleta!$C75=C$4,IF(Coleta!$M75="","",Coleta!$M75),"")</f>
        <v/>
      </c>
      <c r="D113" s="5" t="str">
        <f aca="false">IF(Coleta!$C75=D$4,IF(Coleta!$M75="","",Coleta!$M75),"")</f>
        <v/>
      </c>
      <c r="F113" s="37" t="n">
        <f aca="false">IF(Coleta!$C75=B$4,IF(Coleta!$N75="","",Coleta!$N75),"")</f>
        <v>10</v>
      </c>
      <c r="G113" s="5" t="str">
        <f aca="false">IF(Coleta!$C75=C$4,IF(Coleta!$N75="","",Coleta!$N75),"")</f>
        <v/>
      </c>
      <c r="H113" s="5" t="str">
        <f aca="false">IF(Coleta!$C75=D$4,IF(Coleta!$N75="","",Coleta!$N75),"")</f>
        <v/>
      </c>
    </row>
    <row r="114" customFormat="false" ht="15" hidden="false" customHeight="true" outlineLevel="0" collapsed="false">
      <c r="B114" s="5" t="str">
        <f aca="false">IF(Coleta!$C76=B$4,IF(Coleta!$M76="","",Coleta!$M76),"")</f>
        <v/>
      </c>
      <c r="C114" s="36" t="n">
        <f aca="false">IF(Coleta!$C76=C$4,IF(Coleta!$M76="","",Coleta!$M76),"")</f>
        <v>8.39</v>
      </c>
      <c r="D114" s="5" t="str">
        <f aca="false">IF(Coleta!$C76=D$4,IF(Coleta!$M76="","",Coleta!$M76),"")</f>
        <v/>
      </c>
      <c r="F114" s="5" t="str">
        <f aca="false">IF(Coleta!$C76=B$4,IF(Coleta!$N76="","",Coleta!$N76),"")</f>
        <v/>
      </c>
      <c r="G114" s="37" t="n">
        <f aca="false">IF(Coleta!$C76=C$4,IF(Coleta!$N76="","",Coleta!$N76),"")</f>
        <v>12</v>
      </c>
      <c r="H114" s="5" t="str">
        <f aca="false">IF(Coleta!$C76=D$4,IF(Coleta!$N76="","",Coleta!$N76),"")</f>
        <v/>
      </c>
    </row>
    <row r="115" customFormat="false" ht="15" hidden="false" customHeight="true" outlineLevel="0" collapsed="false">
      <c r="B115" s="5" t="str">
        <f aca="false">IF(Coleta!$C77=B$4,IF(Coleta!$M77="","",Coleta!$M77),"")</f>
        <v/>
      </c>
      <c r="C115" s="5" t="str">
        <f aca="false">IF(Coleta!$C77=C$4,IF(Coleta!$M77="","",Coleta!$M77),"")</f>
        <v/>
      </c>
      <c r="D115" s="36" t="n">
        <f aca="false">IF(Coleta!$C77=D$4,IF(Coleta!$M77="","",Coleta!$M77),"")</f>
        <v>9.23</v>
      </c>
      <c r="F115" s="5" t="str">
        <f aca="false">IF(Coleta!$C77=B$4,IF(Coleta!$N77="","",Coleta!$N77),"")</f>
        <v/>
      </c>
      <c r="G115" s="5" t="str">
        <f aca="false">IF(Coleta!$C77=C$4,IF(Coleta!$N77="","",Coleta!$N77),"")</f>
        <v/>
      </c>
      <c r="H115" s="37" t="n">
        <f aca="false">IF(Coleta!$C77=D$4,IF(Coleta!$N77="","",Coleta!$N77),"")</f>
        <v>11</v>
      </c>
    </row>
    <row r="116" customFormat="false" ht="15" hidden="false" customHeight="true" outlineLevel="0" collapsed="false">
      <c r="B116" s="36" t="n">
        <f aca="false">IF(Coleta!$C78=B$4,IF(Coleta!$M78="","",Coleta!$M78),"")</f>
        <v>10</v>
      </c>
      <c r="C116" s="5" t="str">
        <f aca="false">IF(Coleta!$C78=C$4,IF(Coleta!$M78="","",Coleta!$M78),"")</f>
        <v/>
      </c>
      <c r="D116" s="5" t="str">
        <f aca="false">IF(Coleta!$C78=D$4,IF(Coleta!$M78="","",Coleta!$M78),"")</f>
        <v/>
      </c>
      <c r="F116" s="37" t="n">
        <f aca="false">IF(Coleta!$C78=B$4,IF(Coleta!$N78="","",Coleta!$N78),"")</f>
        <v>10</v>
      </c>
      <c r="G116" s="5" t="str">
        <f aca="false">IF(Coleta!$C78=C$4,IF(Coleta!$N78="","",Coleta!$N78),"")</f>
        <v/>
      </c>
      <c r="H116" s="5" t="str">
        <f aca="false">IF(Coleta!$C78=D$4,IF(Coleta!$N78="","",Coleta!$N78),"")</f>
        <v/>
      </c>
    </row>
    <row r="117" customFormat="false" ht="15" hidden="false" customHeight="true" outlineLevel="0" collapsed="false">
      <c r="B117" s="5" t="str">
        <f aca="false">IF(Coleta!$C79=B$4,IF(Coleta!$M79="","",Coleta!$M79),"")</f>
        <v/>
      </c>
      <c r="C117" s="36" t="n">
        <f aca="false">IF(Coleta!$C79=C$4,IF(Coleta!$M79="","",Coleta!$M79),"")</f>
        <v>7.04</v>
      </c>
      <c r="D117" s="5" t="str">
        <f aca="false">IF(Coleta!$C79=D$4,IF(Coleta!$M79="","",Coleta!$M79),"")</f>
        <v/>
      </c>
      <c r="F117" s="5" t="str">
        <f aca="false">IF(Coleta!$C79=B$4,IF(Coleta!$N79="","",Coleta!$N79),"")</f>
        <v/>
      </c>
      <c r="G117" s="37" t="n">
        <f aca="false">IF(Coleta!$C79=C$4,IF(Coleta!$N79="","",Coleta!$N79),"")</f>
        <v>10</v>
      </c>
      <c r="H117" s="5" t="str">
        <f aca="false">IF(Coleta!$C79=D$4,IF(Coleta!$N79="","",Coleta!$N79),"")</f>
        <v/>
      </c>
    </row>
    <row r="118" customFormat="false" ht="15" hidden="false" customHeight="true" outlineLevel="0" collapsed="false">
      <c r="B118" s="5" t="str">
        <f aca="false">IF(Coleta!$C80=B$4,IF(Coleta!$M80="","",Coleta!$M80),"")</f>
        <v/>
      </c>
      <c r="C118" s="5" t="str">
        <f aca="false">IF(Coleta!$C80=C$4,IF(Coleta!$M80="","",Coleta!$M80),"")</f>
        <v/>
      </c>
      <c r="D118" s="36" t="n">
        <f aca="false">IF(Coleta!$C80=D$4,IF(Coleta!$M80="","",Coleta!$M80),"")</f>
        <v>9.2</v>
      </c>
      <c r="F118" s="5" t="str">
        <f aca="false">IF(Coleta!$C80=B$4,IF(Coleta!$N80="","",Coleta!$N80),"")</f>
        <v/>
      </c>
      <c r="G118" s="5" t="str">
        <f aca="false">IF(Coleta!$C80=C$4,IF(Coleta!$N80="","",Coleta!$N80),"")</f>
        <v/>
      </c>
      <c r="H118" s="37" t="n">
        <f aca="false">IF(Coleta!$C80=D$4,IF(Coleta!$N80="","",Coleta!$N80),"")</f>
        <v>8</v>
      </c>
    </row>
    <row r="119" customFormat="false" ht="15" hidden="false" customHeight="true" outlineLevel="0" collapsed="false">
      <c r="B119" s="36" t="n">
        <f aca="false">IF(Coleta!$C81=B$4,IF(Coleta!$M81="","",Coleta!$M81),"")</f>
        <v>6.82</v>
      </c>
      <c r="C119" s="5" t="str">
        <f aca="false">IF(Coleta!$C81=C$4,IF(Coleta!$M81="","",Coleta!$M81),"")</f>
        <v/>
      </c>
      <c r="D119" s="5" t="str">
        <f aca="false">IF(Coleta!$C81=D$4,IF(Coleta!$M81="","",Coleta!$M81),"")</f>
        <v/>
      </c>
      <c r="F119" s="37" t="n">
        <f aca="false">IF(Coleta!$C81=B$4,IF(Coleta!$N81="","",Coleta!$N81),"")</f>
        <v>7</v>
      </c>
      <c r="G119" s="5" t="str">
        <f aca="false">IF(Coleta!$C81=C$4,IF(Coleta!$N81="","",Coleta!$N81),"")</f>
        <v/>
      </c>
      <c r="H119" s="5" t="str">
        <f aca="false">IF(Coleta!$C81=D$4,IF(Coleta!$N81="","",Coleta!$N81),"")</f>
        <v/>
      </c>
    </row>
    <row r="120" customFormat="false" ht="15" hidden="false" customHeight="true" outlineLevel="0" collapsed="false">
      <c r="B120" s="5" t="str">
        <f aca="false">IF(Coleta!$C82=B$4,IF(Coleta!$M82="","",Coleta!$M82),"")</f>
        <v/>
      </c>
      <c r="C120" s="36" t="n">
        <f aca="false">IF(Coleta!$C82=C$4,IF(Coleta!$M82="","",Coleta!$M82),"")</f>
        <v>7.31</v>
      </c>
      <c r="D120" s="5" t="str">
        <f aca="false">IF(Coleta!$C82=D$4,IF(Coleta!$M82="","",Coleta!$M82),"")</f>
        <v/>
      </c>
      <c r="F120" s="5" t="str">
        <f aca="false">IF(Coleta!$C82=B$4,IF(Coleta!$N82="","",Coleta!$N82),"")</f>
        <v/>
      </c>
      <c r="G120" s="37" t="n">
        <f aca="false">IF(Coleta!$C82=C$4,IF(Coleta!$N82="","",Coleta!$N82),"")</f>
        <v>8</v>
      </c>
      <c r="H120" s="5" t="str">
        <f aca="false">IF(Coleta!$C82=D$4,IF(Coleta!$N82="","",Coleta!$N82),"")</f>
        <v/>
      </c>
    </row>
    <row r="121" customFormat="false" ht="15" hidden="false" customHeight="true" outlineLevel="0" collapsed="false">
      <c r="B121" s="5" t="str">
        <f aca="false">IF(Coleta!$C83=B$4,IF(Coleta!$M83="","",Coleta!$M83),"")</f>
        <v/>
      </c>
      <c r="C121" s="5" t="str">
        <f aca="false">IF(Coleta!$C83=C$4,IF(Coleta!$M83="","",Coleta!$M83),"")</f>
        <v/>
      </c>
      <c r="D121" s="36" t="n">
        <f aca="false">IF(Coleta!$C83=D$4,IF(Coleta!$M83="","",Coleta!$M83),"")</f>
        <v>8.67</v>
      </c>
      <c r="F121" s="5" t="str">
        <f aca="false">IF(Coleta!$C83=B$4,IF(Coleta!$N83="","",Coleta!$N83),"")</f>
        <v/>
      </c>
      <c r="G121" s="5" t="str">
        <f aca="false">IF(Coleta!$C83=C$4,IF(Coleta!$N83="","",Coleta!$N83),"")</f>
        <v/>
      </c>
      <c r="H121" s="37" t="n">
        <f aca="false">IF(Coleta!$C83=D$4,IF(Coleta!$N83="","",Coleta!$N83),"")</f>
        <v>8</v>
      </c>
    </row>
    <row r="122" customFormat="false" ht="15" hidden="false" customHeight="true" outlineLevel="0" collapsed="false">
      <c r="B122" s="36" t="n">
        <f aca="false">IF(Coleta!$C84=B$4,IF(Coleta!$M84="","",Coleta!$M84),"")</f>
        <v>9.83</v>
      </c>
      <c r="C122" s="5" t="str">
        <f aca="false">IF(Coleta!$C84=C$4,IF(Coleta!$M84="","",Coleta!$M84),"")</f>
        <v/>
      </c>
      <c r="D122" s="5" t="str">
        <f aca="false">IF(Coleta!$C84=D$4,IF(Coleta!$M84="","",Coleta!$M84),"")</f>
        <v/>
      </c>
      <c r="F122" s="37" t="n">
        <f aca="false">IF(Coleta!$C84=B$4,IF(Coleta!$N84="","",Coleta!$N84),"")</f>
        <v>27</v>
      </c>
      <c r="G122" s="5" t="str">
        <f aca="false">IF(Coleta!$C84=C$4,IF(Coleta!$N84="","",Coleta!$N84),"")</f>
        <v/>
      </c>
      <c r="H122" s="5" t="str">
        <f aca="false">IF(Coleta!$C84=D$4,IF(Coleta!$N84="","",Coleta!$N84),"")</f>
        <v/>
      </c>
    </row>
    <row r="123" customFormat="false" ht="15" hidden="false" customHeight="true" outlineLevel="0" collapsed="false">
      <c r="B123" s="5" t="str">
        <f aca="false">IF(Coleta!$C85=B$4,IF(Coleta!$M85="","",Coleta!$M85),"")</f>
        <v/>
      </c>
      <c r="C123" s="36" t="n">
        <f aca="false">IF(Coleta!$C85=C$4,IF(Coleta!$M85="","",Coleta!$M85),"")</f>
        <v>6.18</v>
      </c>
      <c r="D123" s="5" t="str">
        <f aca="false">IF(Coleta!$C85=D$4,IF(Coleta!$M85="","",Coleta!$M85),"")</f>
        <v/>
      </c>
      <c r="F123" s="5" t="str">
        <f aca="false">IF(Coleta!$C85=B$4,IF(Coleta!$N85="","",Coleta!$N85),"")</f>
        <v/>
      </c>
      <c r="G123" s="37" t="n">
        <f aca="false">IF(Coleta!$C85=C$4,IF(Coleta!$N85="","",Coleta!$N85),"")</f>
        <v>17</v>
      </c>
      <c r="H123" s="5" t="str">
        <f aca="false">IF(Coleta!$C85=D$4,IF(Coleta!$N85="","",Coleta!$N85),"")</f>
        <v/>
      </c>
    </row>
    <row r="124" customFormat="false" ht="15" hidden="false" customHeight="true" outlineLevel="0" collapsed="false">
      <c r="B124" s="5" t="str">
        <f aca="false">IF(Coleta!$C86=B$4,IF(Coleta!$M86="","",Coleta!$M86),"")</f>
        <v/>
      </c>
      <c r="C124" s="5" t="str">
        <f aca="false">IF(Coleta!$C86=C$4,IF(Coleta!$M86="","",Coleta!$M86),"")</f>
        <v/>
      </c>
      <c r="D124" s="36" t="n">
        <f aca="false">IF(Coleta!$C86=D$4,IF(Coleta!$M86="","",Coleta!$M86),"")</f>
        <v>8.77</v>
      </c>
      <c r="F124" s="5" t="str">
        <f aca="false">IF(Coleta!$C86=B$4,IF(Coleta!$N86="","",Coleta!$N86),"")</f>
        <v/>
      </c>
      <c r="G124" s="5" t="str">
        <f aca="false">IF(Coleta!$C86=C$4,IF(Coleta!$N86="","",Coleta!$N86),"")</f>
        <v/>
      </c>
      <c r="H124" s="37" t="n">
        <f aca="false">IF(Coleta!$C86=D$4,IF(Coleta!$N86="","",Coleta!$N86),"")</f>
        <v>23</v>
      </c>
    </row>
    <row r="125" customFormat="false" ht="15" hidden="false" customHeight="true" outlineLevel="0" collapsed="false">
      <c r="B125" s="36" t="n">
        <f aca="false">IF(Coleta!$C87=B$4,IF(Coleta!$M87="","",Coleta!$M87),"")</f>
        <v>9</v>
      </c>
      <c r="C125" s="5" t="str">
        <f aca="false">IF(Coleta!$C87=C$4,IF(Coleta!$M87="","",Coleta!$M87),"")</f>
        <v/>
      </c>
      <c r="D125" s="5" t="str">
        <f aca="false">IF(Coleta!$C87=D$4,IF(Coleta!$M87="","",Coleta!$M87),"")</f>
        <v/>
      </c>
      <c r="F125" s="37" t="n">
        <f aca="false">IF(Coleta!$C87=B$4,IF(Coleta!$N87="","",Coleta!$N87),"")</f>
        <v>25</v>
      </c>
      <c r="G125" s="5" t="str">
        <f aca="false">IF(Coleta!$C87=C$4,IF(Coleta!$N87="","",Coleta!$N87),"")</f>
        <v/>
      </c>
      <c r="H125" s="5" t="str">
        <f aca="false">IF(Coleta!$C87=D$4,IF(Coleta!$N87="","",Coleta!$N87),"")</f>
        <v/>
      </c>
    </row>
    <row r="126" customFormat="false" ht="15" hidden="false" customHeight="true" outlineLevel="0" collapsed="false">
      <c r="B126" s="5" t="str">
        <f aca="false">IF(Coleta!$C88=B$4,IF(Coleta!$M88="","",Coleta!$M88),"")</f>
        <v/>
      </c>
      <c r="C126" s="36" t="n">
        <f aca="false">IF(Coleta!$C88=C$4,IF(Coleta!$M88="","",Coleta!$M88),"")</f>
        <v>5.6</v>
      </c>
      <c r="D126" s="5" t="str">
        <f aca="false">IF(Coleta!$C88=D$4,IF(Coleta!$M88="","",Coleta!$M88),"")</f>
        <v/>
      </c>
      <c r="F126" s="5" t="str">
        <f aca="false">IF(Coleta!$C88=B$4,IF(Coleta!$N88="","",Coleta!$N88),"")</f>
        <v/>
      </c>
      <c r="G126" s="37" t="n">
        <f aca="false">IF(Coleta!$C88=C$4,IF(Coleta!$N88="","",Coleta!$N88),"")</f>
        <v>23</v>
      </c>
      <c r="H126" s="5" t="str">
        <f aca="false">IF(Coleta!$C88=D$4,IF(Coleta!$N88="","",Coleta!$N88),"")</f>
        <v/>
      </c>
    </row>
    <row r="127" customFormat="false" ht="15" hidden="false" customHeight="true" outlineLevel="0" collapsed="false">
      <c r="B127" s="5" t="str">
        <f aca="false">IF(Coleta!$C89=B$4,IF(Coleta!$M89="","",Coleta!$M89),"")</f>
        <v/>
      </c>
      <c r="C127" s="5" t="str">
        <f aca="false">IF(Coleta!$C89=C$4,IF(Coleta!$M89="","",Coleta!$M89),"")</f>
        <v/>
      </c>
      <c r="D127" s="36" t="n">
        <f aca="false">IF(Coleta!$C89=D$4,IF(Coleta!$M89="","",Coleta!$M89),"")</f>
        <v>8.04</v>
      </c>
      <c r="F127" s="5" t="str">
        <f aca="false">IF(Coleta!$C89=B$4,IF(Coleta!$N89="","",Coleta!$N89),"")</f>
        <v/>
      </c>
      <c r="G127" s="5" t="str">
        <f aca="false">IF(Coleta!$C89=C$4,IF(Coleta!$N89="","",Coleta!$N89),"")</f>
        <v/>
      </c>
      <c r="H127" s="37" t="n">
        <f aca="false">IF(Coleta!$C89=D$4,IF(Coleta!$N89="","",Coleta!$N89),"")</f>
        <v>11</v>
      </c>
    </row>
    <row r="128" customFormat="false" ht="15" hidden="false" customHeight="true" outlineLevel="0" collapsed="false">
      <c r="B128" s="36" t="n">
        <f aca="false">IF(Coleta!$C90=B$4,IF(Coleta!$M90="","",Coleta!$M90),"")</f>
        <v>9.62</v>
      </c>
      <c r="C128" s="5" t="str">
        <f aca="false">IF(Coleta!$C90=C$4,IF(Coleta!$M90="","",Coleta!$M90),"")</f>
        <v/>
      </c>
      <c r="D128" s="5" t="str">
        <f aca="false">IF(Coleta!$C90=D$4,IF(Coleta!$M90="","",Coleta!$M90),"")</f>
        <v/>
      </c>
      <c r="F128" s="37" t="n">
        <f aca="false">IF(Coleta!$C90=B$4,IF(Coleta!$N90="","",Coleta!$N90),"")</f>
        <v>32</v>
      </c>
      <c r="G128" s="5" t="str">
        <f aca="false">IF(Coleta!$C90=C$4,IF(Coleta!$N90="","",Coleta!$N90),"")</f>
        <v/>
      </c>
      <c r="H128" s="5" t="str">
        <f aca="false">IF(Coleta!$C90=D$4,IF(Coleta!$N90="","",Coleta!$N90),"")</f>
        <v/>
      </c>
    </row>
    <row r="129" customFormat="false" ht="15" hidden="false" customHeight="true" outlineLevel="0" collapsed="false">
      <c r="B129" s="5" t="str">
        <f aca="false">IF(Coleta!$C91=B$4,IF(Coleta!$M91="","",Coleta!$M91),"")</f>
        <v/>
      </c>
      <c r="C129" s="36" t="n">
        <f aca="false">IF(Coleta!$C91=C$4,IF(Coleta!$M91="","",Coleta!$M91),"")</f>
        <v>6.67</v>
      </c>
      <c r="D129" s="5" t="str">
        <f aca="false">IF(Coleta!$C91=D$4,IF(Coleta!$M91="","",Coleta!$M91),"")</f>
        <v/>
      </c>
      <c r="F129" s="5" t="str">
        <f aca="false">IF(Coleta!$C91=B$4,IF(Coleta!$N91="","",Coleta!$N91),"")</f>
        <v/>
      </c>
      <c r="G129" s="37" t="n">
        <f aca="false">IF(Coleta!$C91=C$4,IF(Coleta!$N91="","",Coleta!$N91),"")</f>
        <v>11</v>
      </c>
      <c r="H129" s="5" t="str">
        <f aca="false">IF(Coleta!$C91=D$4,IF(Coleta!$N91="","",Coleta!$N91),"")</f>
        <v/>
      </c>
    </row>
    <row r="130" customFormat="false" ht="15" hidden="false" customHeight="true" outlineLevel="0" collapsed="false">
      <c r="B130" s="5" t="str">
        <f aca="false">IF(Coleta!$C92=B$4,IF(Coleta!$M92="","",Coleta!$M92),"")</f>
        <v/>
      </c>
      <c r="C130" s="5" t="str">
        <f aca="false">IF(Coleta!$C92=C$4,IF(Coleta!$M92="","",Coleta!$M92),"")</f>
        <v/>
      </c>
      <c r="D130" s="36" t="n">
        <f aca="false">IF(Coleta!$C92=D$4,IF(Coleta!$M92="","",Coleta!$M92),"")</f>
        <v>8.33</v>
      </c>
      <c r="F130" s="5" t="str">
        <f aca="false">IF(Coleta!$C92=B$4,IF(Coleta!$N92="","",Coleta!$N92),"")</f>
        <v/>
      </c>
      <c r="G130" s="5" t="str">
        <f aca="false">IF(Coleta!$C92=C$4,IF(Coleta!$N92="","",Coleta!$N92),"")</f>
        <v/>
      </c>
      <c r="H130" s="37" t="n">
        <f aca="false">IF(Coleta!$C92=D$4,IF(Coleta!$N92="","",Coleta!$N92),"")</f>
        <v>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2026-09-07T14:03:50Z</dcterms:created>
  <dc:creator>openpyxl</dc:creator>
  <dc:description/>
  <dc:language>en-US</dc:language>
  <cp:lastModifiedBy/>
  <dcterms:modified xsi:type="dcterms:W3CDTF">2026-09-15T18:06:32Z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